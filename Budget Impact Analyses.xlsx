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veenasingh/Downloads/"/>
    </mc:Choice>
  </mc:AlternateContent>
  <xr:revisionPtr revIDLastSave="0" documentId="8_{50049616-056B-7F45-A8BC-FE5AEF1B5278}" xr6:coauthVersionLast="47" xr6:coauthVersionMax="47" xr10:uidLastSave="{00000000-0000-0000-0000-000000000000}"/>
  <bookViews>
    <workbookView xWindow="9620" yWindow="7200" windowWidth="28800" windowHeight="16020" xr2:uid="{58C0EF42-621A-B94F-BE12-4EC415947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1" l="1"/>
  <c r="T27" i="1"/>
  <c r="T28" i="1"/>
  <c r="T29" i="1"/>
  <c r="T30" i="1"/>
  <c r="T25" i="1"/>
  <c r="T33" i="1"/>
  <c r="N18" i="1" a="1"/>
  <c r="N18" i="1" s="1"/>
  <c r="N17" i="1" a="1"/>
  <c r="N17" i="1" s="1"/>
  <c r="J7" i="1"/>
  <c r="J8" i="1" s="1"/>
  <c r="J9" i="1" s="1"/>
  <c r="J10" i="1" s="1"/>
  <c r="J12" i="1" s="1"/>
  <c r="I21" i="1" s="1"/>
  <c r="F52" i="1"/>
  <c r="E52" i="1"/>
  <c r="F46" i="1"/>
  <c r="E46" i="1"/>
  <c r="F38" i="1"/>
  <c r="E38" i="1"/>
  <c r="F31" i="1"/>
  <c r="E31" i="1"/>
  <c r="F25" i="1"/>
  <c r="E25" i="1"/>
  <c r="F19" i="1"/>
  <c r="E19" i="1"/>
  <c r="I22" i="1" l="1"/>
  <c r="I23" i="1" s="1"/>
  <c r="I24" i="1" s="1"/>
  <c r="I25" i="1" s="1"/>
  <c r="I26" i="1" s="1"/>
  <c r="E55" i="1"/>
  <c r="F55" i="1"/>
  <c r="N10" i="1" l="1" a="1"/>
  <c r="N10" i="1" l="1"/>
  <c r="R47" i="1"/>
  <c r="R76" i="1" s="1"/>
  <c r="R84" i="1" s="1"/>
  <c r="P57" i="1"/>
  <c r="P53" i="1"/>
  <c r="P48" i="1"/>
  <c r="P37" i="1"/>
  <c r="O32" i="1"/>
  <c r="Q57" i="1"/>
  <c r="S56" i="1"/>
  <c r="O54" i="1"/>
  <c r="Q53" i="1"/>
  <c r="S52" i="1"/>
  <c r="O49" i="1"/>
  <c r="Q48" i="1"/>
  <c r="S47" i="1"/>
  <c r="O45" i="1"/>
  <c r="Q37" i="1"/>
  <c r="S36" i="1"/>
  <c r="O34" i="1"/>
  <c r="P32" i="1"/>
  <c r="R57" i="1"/>
  <c r="P54" i="1"/>
  <c r="R53" i="1"/>
  <c r="P49" i="1"/>
  <c r="P78" i="1" s="1"/>
  <c r="P86" i="1" s="1"/>
  <c r="R48" i="1"/>
  <c r="P45" i="1"/>
  <c r="R37" i="1"/>
  <c r="P34" i="1"/>
  <c r="Q32" i="1"/>
  <c r="S57" i="1"/>
  <c r="O55" i="1"/>
  <c r="Q54" i="1"/>
  <c r="S53" i="1"/>
  <c r="O50" i="1"/>
  <c r="Q49" i="1"/>
  <c r="S48" i="1"/>
  <c r="O46" i="1"/>
  <c r="O75" i="1" s="1"/>
  <c r="O83" i="1" s="1"/>
  <c r="Q45" i="1"/>
  <c r="S37" i="1"/>
  <c r="O35" i="1"/>
  <c r="Q34" i="1"/>
  <c r="P55" i="1"/>
  <c r="R54" i="1"/>
  <c r="P50" i="1"/>
  <c r="P79" i="1" s="1"/>
  <c r="P87" i="1" s="1"/>
  <c r="R49" i="1"/>
  <c r="R78" i="1" s="1"/>
  <c r="R86" i="1" s="1"/>
  <c r="P46" i="1"/>
  <c r="P75" i="1" s="1"/>
  <c r="P83" i="1" s="1"/>
  <c r="R45" i="1"/>
  <c r="P35" i="1"/>
  <c r="R34" i="1"/>
  <c r="O56" i="1"/>
  <c r="Q55" i="1"/>
  <c r="S54" i="1"/>
  <c r="O52" i="1"/>
  <c r="Q50" i="1"/>
  <c r="S49" i="1"/>
  <c r="S78" i="1" s="1"/>
  <c r="S86" i="1" s="1"/>
  <c r="O47" i="1"/>
  <c r="O76" i="1" s="1"/>
  <c r="O84" i="1" s="1"/>
  <c r="Q46" i="1"/>
  <c r="Q75" i="1" s="1"/>
  <c r="Q83" i="1" s="1"/>
  <c r="S45" i="1"/>
  <c r="O36" i="1"/>
  <c r="Q35" i="1"/>
  <c r="S34" i="1"/>
  <c r="P56" i="1"/>
  <c r="R55" i="1"/>
  <c r="P52" i="1"/>
  <c r="R50" i="1"/>
  <c r="P47" i="1"/>
  <c r="R46" i="1"/>
  <c r="P36" i="1"/>
  <c r="R35" i="1"/>
  <c r="O57" i="1"/>
  <c r="Q56" i="1"/>
  <c r="S55" i="1"/>
  <c r="O53" i="1"/>
  <c r="Q52" i="1"/>
  <c r="S50" i="1"/>
  <c r="O48" i="1"/>
  <c r="Q47" i="1"/>
  <c r="S46" i="1"/>
  <c r="S75" i="1" s="1"/>
  <c r="S83" i="1" s="1"/>
  <c r="O37" i="1"/>
  <c r="Q36" i="1"/>
  <c r="S35" i="1"/>
  <c r="R32" i="1"/>
  <c r="S32" i="1"/>
  <c r="R56" i="1"/>
  <c r="R52" i="1"/>
  <c r="R36" i="1"/>
  <c r="O74" i="1" l="1"/>
  <c r="O82" i="1" s="1"/>
  <c r="O65" i="1"/>
  <c r="R74" i="1"/>
  <c r="R82" i="1" s="1"/>
  <c r="R65" i="1"/>
  <c r="S76" i="1"/>
  <c r="S84" i="1" s="1"/>
  <c r="O66" i="1"/>
  <c r="Q79" i="1"/>
  <c r="Q87" i="1" s="1"/>
  <c r="Q74" i="1"/>
  <c r="Q82" i="1" s="1"/>
  <c r="Q65" i="1"/>
  <c r="Q77" i="1"/>
  <c r="Q85" i="1" s="1"/>
  <c r="Q66" i="1"/>
  <c r="Q69" i="1" s="1"/>
  <c r="O78" i="1"/>
  <c r="O86" i="1" s="1"/>
  <c r="T86" i="1" s="1"/>
  <c r="P77" i="1"/>
  <c r="P85" i="1" s="1"/>
  <c r="T83" i="1"/>
  <c r="S77" i="1"/>
  <c r="S85" i="1" s="1"/>
  <c r="P66" i="1"/>
  <c r="P69" i="1" s="1"/>
  <c r="Q76" i="1"/>
  <c r="Q84" i="1" s="1"/>
  <c r="S66" i="1"/>
  <c r="S69" i="1" s="1"/>
  <c r="S79" i="1"/>
  <c r="S87" i="1" s="1"/>
  <c r="R75" i="1"/>
  <c r="R83" i="1" s="1"/>
  <c r="Q78" i="1"/>
  <c r="Q86" i="1" s="1"/>
  <c r="O77" i="1"/>
  <c r="O85" i="1" s="1"/>
  <c r="R66" i="1"/>
  <c r="R69" i="1" s="1"/>
  <c r="P76" i="1"/>
  <c r="P84" i="1" s="1"/>
  <c r="T84" i="1" s="1"/>
  <c r="S74" i="1"/>
  <c r="S82" i="1" s="1"/>
  <c r="S65" i="1"/>
  <c r="O79" i="1"/>
  <c r="O87" i="1" s="1"/>
  <c r="P74" i="1"/>
  <c r="P82" i="1" s="1"/>
  <c r="P65" i="1"/>
  <c r="R79" i="1"/>
  <c r="R87" i="1" s="1"/>
  <c r="R77" i="1"/>
  <c r="R85" i="1" s="1"/>
  <c r="N55" i="1"/>
  <c r="T55" i="1" s="1"/>
  <c r="N35" i="1"/>
  <c r="T35" i="1" s="1"/>
  <c r="T10" i="1"/>
  <c r="N56" i="1"/>
  <c r="T56" i="1" s="1"/>
  <c r="N52" i="1"/>
  <c r="T52" i="1" s="1"/>
  <c r="N47" i="1"/>
  <c r="N36" i="1"/>
  <c r="T36" i="1" s="1"/>
  <c r="N57" i="1"/>
  <c r="T57" i="1" s="1"/>
  <c r="N53" i="1"/>
  <c r="T53" i="1" s="1"/>
  <c r="N48" i="1"/>
  <c r="N37" i="1"/>
  <c r="T37" i="1" s="1"/>
  <c r="N54" i="1"/>
  <c r="T54" i="1" s="1"/>
  <c r="N49" i="1"/>
  <c r="N45" i="1"/>
  <c r="N34" i="1"/>
  <c r="T34" i="1" s="1"/>
  <c r="N50" i="1"/>
  <c r="N46" i="1"/>
  <c r="N32" i="1"/>
  <c r="N79" i="1" l="1"/>
  <c r="N87" i="1" s="1"/>
  <c r="T50" i="1"/>
  <c r="T79" i="1" s="1"/>
  <c r="T66" i="1"/>
  <c r="O69" i="1"/>
  <c r="T69" i="1" s="1"/>
  <c r="N74" i="1"/>
  <c r="N82" i="1" s="1"/>
  <c r="N65" i="1"/>
  <c r="T45" i="1"/>
  <c r="N76" i="1"/>
  <c r="N84" i="1" s="1"/>
  <c r="T47" i="1"/>
  <c r="T76" i="1" s="1"/>
  <c r="P68" i="1"/>
  <c r="P70" i="1" s="1"/>
  <c r="P67" i="1"/>
  <c r="R68" i="1"/>
  <c r="R70" i="1" s="1"/>
  <c r="R67" i="1"/>
  <c r="N78" i="1"/>
  <c r="N86" i="1" s="1"/>
  <c r="T49" i="1"/>
  <c r="T78" i="1" s="1"/>
  <c r="T87" i="1"/>
  <c r="S68" i="1"/>
  <c r="S70" i="1" s="1"/>
  <c r="S67" i="1"/>
  <c r="T65" i="1"/>
  <c r="O68" i="1"/>
  <c r="O67" i="1"/>
  <c r="T85" i="1"/>
  <c r="N66" i="1"/>
  <c r="N69" i="1" s="1"/>
  <c r="T32" i="1"/>
  <c r="N77" i="1"/>
  <c r="N85" i="1" s="1"/>
  <c r="T48" i="1"/>
  <c r="T77" i="1" s="1"/>
  <c r="Q68" i="1"/>
  <c r="Q70" i="1" s="1"/>
  <c r="Q67" i="1"/>
  <c r="T82" i="1"/>
  <c r="N75" i="1"/>
  <c r="N83" i="1" s="1"/>
  <c r="T46" i="1"/>
  <c r="T75" i="1" s="1"/>
  <c r="T74" i="1" l="1"/>
  <c r="N68" i="1"/>
  <c r="N70" i="1" s="1"/>
  <c r="N67" i="1"/>
  <c r="T67" i="1"/>
  <c r="T68" i="1"/>
  <c r="O70" i="1"/>
  <c r="T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tc={EF08CBBF-107F-244A-9F80-64B37B4F4D7A}</author>
    <author>tc={8E091F47-028E-1541-9BC2-76C716AC58DA}</author>
    <author>tc={A72C6C48-DB3D-2941-8464-90F61277D633}</author>
    <author>tc={E33714CB-B801-D94F-850C-20626A7BE2EB}</author>
    <author>tc={0DA5AC1A-43AF-704F-B64A-3359A32EA512}</author>
    <author>tc={6209E2B9-310F-E443-8814-DB4796F189CE}</author>
  </authors>
  <commentList>
    <comment ref="H3" authorId="0" shapeId="0" xr:uid="{EF08CBBF-107F-244A-9F80-64B37B4F4D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- To understand the disease prevalence and how many people actually have the disease right now. 
- We also need to understand the disease incidence, grasping how many new cases have appeared over a defined time period. </t>
      </text>
    </comment>
    <comment ref="H10" authorId="1" shapeId="0" xr:uid="{8E091F47-028E-1541-9BC2-76C716AC5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treatment offered when patients fail the first-line therapy - main focus of this case </t>
      </text>
    </comment>
    <comment ref="H18" authorId="2" shapeId="0" xr:uid="{A72C6C48-DB3D-2941-8464-90F61277D6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not account for patients exiting the model - through deaths or end of treatment </t>
      </text>
    </comment>
    <comment ref="F25" authorId="3" shapeId="0" xr:uid="{E33714CB-B801-D94F-850C-20626A7BE2EB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standard care don't incur additional injection costs, since it is administered by own ingestion of drug</t>
      </text>
    </comment>
    <comment ref="C37" authorId="4" shapeId="0" xr:uid="{0DA5AC1A-43AF-704F-B64A-3359A32EA5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costly to treat these severe side effects that occur in 2% of the population being treated </t>
      </text>
    </comment>
    <comment ref="A43" authorId="5" shapeId="0" xr:uid="{6209E2B9-310F-E443-8814-DB4796F189C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instance - cardiovascular events. Hospitalisation needs to be part of the broader diabetes disease burden, otherwise they might fall under treatment-related costs. --- ??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<sst xmlns="http://schemas.openxmlformats.org/spreadsheetml/2006/main" count="199" uniqueCount="86">
  <si>
    <t xml:space="preserve">Scenario: second line therapy for type 2 diabetes </t>
  </si>
  <si>
    <t xml:space="preserve">2 drugs available: </t>
  </si>
  <si>
    <t xml:space="preserve">Treatment A: reimbursed drug </t>
  </si>
  <si>
    <t xml:space="preserve">Treatment B: current standard of care </t>
  </si>
  <si>
    <t>Aim: to calculate the budget impact on a national level for england, within a time horizon of 5 years</t>
  </si>
  <si>
    <t>COSTS</t>
  </si>
  <si>
    <t xml:space="preserve">Treatment related costs </t>
  </si>
  <si>
    <t xml:space="preserve">Drug acquisition costs </t>
  </si>
  <si>
    <t>Costs</t>
  </si>
  <si>
    <t xml:space="preserve">Frequency </t>
  </si>
  <si>
    <t>A</t>
  </si>
  <si>
    <t>B</t>
  </si>
  <si>
    <t>Treatment B (standard care)</t>
  </si>
  <si>
    <t>Treatment A (new treatment)</t>
  </si>
  <si>
    <t>Cost per year (per patient)</t>
  </si>
  <si>
    <t xml:space="preserve">Administration costs </t>
  </si>
  <si>
    <t>Cost</t>
  </si>
  <si>
    <t xml:space="preserve">Nurse cost for injection </t>
  </si>
  <si>
    <t>Monitoring costs</t>
  </si>
  <si>
    <t>Frequency</t>
  </si>
  <si>
    <t>Blood pressure monitoring  + lab test</t>
  </si>
  <si>
    <t xml:space="preserve">Adverse event costs </t>
  </si>
  <si>
    <t>Injection side reaction</t>
  </si>
  <si>
    <t xml:space="preserve">Severe rare side effects </t>
  </si>
  <si>
    <t xml:space="preserve">Condition-specific costs </t>
  </si>
  <si>
    <t xml:space="preserve">Hospitalisation costs </t>
  </si>
  <si>
    <t xml:space="preserve">Hospitalisation due to cardiovascular event </t>
  </si>
  <si>
    <t>Outpatient visits</t>
  </si>
  <si>
    <t xml:space="preserve">Endonicrologist </t>
  </si>
  <si>
    <t>Total cost per year (per patient)</t>
  </si>
  <si>
    <t>Epidemiology</t>
  </si>
  <si>
    <t>Carcade Step</t>
  </si>
  <si>
    <t>Assumption</t>
  </si>
  <si>
    <t xml:space="preserve">Population size </t>
  </si>
  <si>
    <t xml:space="preserve">Total population of England </t>
  </si>
  <si>
    <t xml:space="preserve">Diabetes prevalence </t>
  </si>
  <si>
    <t xml:space="preserve">Type 2 diabetes Cases </t>
  </si>
  <si>
    <t>On drug therapy (first-line therapy)</t>
  </si>
  <si>
    <t>Second-line therapy</t>
  </si>
  <si>
    <t xml:space="preserve">Prevalent population prevention </t>
  </si>
  <si>
    <t xml:space="preserve">Annual Incidence </t>
  </si>
  <si>
    <t>Eligible patient population</t>
  </si>
  <si>
    <t>Year</t>
  </si>
  <si>
    <t xml:space="preserve">Eligible Patient </t>
  </si>
  <si>
    <t>Year 0 (Baseline)</t>
  </si>
  <si>
    <t>Year 1 (2026)</t>
  </si>
  <si>
    <t>Year 2 (2027)</t>
  </si>
  <si>
    <t>Year 3 (2028)</t>
  </si>
  <si>
    <t>Year 4 (2029)</t>
  </si>
  <si>
    <t>Year 5 (2030)</t>
  </si>
  <si>
    <t xml:space="preserve">Market Shares </t>
  </si>
  <si>
    <r>
      <t xml:space="preserve">World </t>
    </r>
    <r>
      <rPr>
        <b/>
        <sz val="12"/>
        <color theme="1"/>
        <rFont val="Aptos Narrow"/>
        <scheme val="minor"/>
      </rPr>
      <t>without</t>
    </r>
    <r>
      <rPr>
        <sz val="12"/>
        <color theme="1"/>
        <rFont val="Aptos Narrow"/>
        <family val="2"/>
        <scheme val="minor"/>
      </rPr>
      <t xml:space="preserve"> new treatment - current treatment </t>
    </r>
  </si>
  <si>
    <t>Treatment A</t>
  </si>
  <si>
    <t>Treatment B</t>
  </si>
  <si>
    <r>
      <t xml:space="preserve">world </t>
    </r>
    <r>
      <rPr>
        <b/>
        <sz val="12"/>
        <color theme="1"/>
        <rFont val="Aptos Narrow"/>
        <scheme val="minor"/>
      </rPr>
      <t>with</t>
    </r>
    <r>
      <rPr>
        <sz val="12"/>
        <color theme="1"/>
        <rFont val="Aptos Narrow"/>
        <family val="2"/>
        <scheme val="minor"/>
      </rPr>
      <t xml:space="preserve"> new treatment - future practice</t>
    </r>
  </si>
  <si>
    <t xml:space="preserve">Model Engine </t>
  </si>
  <si>
    <t>Transpose Patient Numbers</t>
  </si>
  <si>
    <t>Time</t>
  </si>
  <si>
    <t>Year 0</t>
  </si>
  <si>
    <t>Year 1</t>
  </si>
  <si>
    <t>Year 2</t>
  </si>
  <si>
    <t>Year 3</t>
  </si>
  <si>
    <t>Year 4</t>
  </si>
  <si>
    <t>Year 5</t>
  </si>
  <si>
    <t>Total</t>
  </si>
  <si>
    <t xml:space="preserve">Baseline </t>
  </si>
  <si>
    <t>Eligible Patients</t>
  </si>
  <si>
    <r>
      <t xml:space="preserve">Transpose market shares ( world </t>
    </r>
    <r>
      <rPr>
        <b/>
        <sz val="12"/>
        <color theme="1"/>
        <rFont val="Aptos Narrow"/>
        <scheme val="minor"/>
      </rPr>
      <t>with</t>
    </r>
    <r>
      <rPr>
        <sz val="12"/>
        <color theme="1"/>
        <rFont val="Aptos Narrow"/>
        <family val="2"/>
        <scheme val="minor"/>
      </rPr>
      <t xml:space="preserve"> new treatment)</t>
    </r>
  </si>
  <si>
    <r>
      <t xml:space="preserve">World </t>
    </r>
    <r>
      <rPr>
        <b/>
        <sz val="12"/>
        <color theme="1"/>
        <rFont val="Aptos Narrow"/>
        <scheme val="minor"/>
      </rPr>
      <t>without</t>
    </r>
    <r>
      <rPr>
        <sz val="12"/>
        <color theme="1"/>
        <rFont val="Aptos Narrow"/>
        <family val="2"/>
        <scheme val="minor"/>
      </rPr>
      <t xml:space="preserve"> new treatment - current practice  </t>
    </r>
  </si>
  <si>
    <t xml:space="preserve">Treatment Cost Type </t>
  </si>
  <si>
    <t>Drug Acquisition costs</t>
  </si>
  <si>
    <t xml:space="preserve">Monitoring costs </t>
  </si>
  <si>
    <t xml:space="preserve">Outpatient visits </t>
  </si>
  <si>
    <r>
      <t xml:space="preserve">World </t>
    </r>
    <r>
      <rPr>
        <b/>
        <sz val="12"/>
        <color theme="1"/>
        <rFont val="Aptos Narrow"/>
        <scheme val="minor"/>
      </rPr>
      <t>with</t>
    </r>
    <r>
      <rPr>
        <sz val="12"/>
        <color theme="1"/>
        <rFont val="Aptos Narrow"/>
        <family val="2"/>
        <scheme val="minor"/>
      </rPr>
      <t xml:space="preserve"> new treatment - future practice  </t>
    </r>
  </si>
  <si>
    <t xml:space="preserve">Comparison </t>
  </si>
  <si>
    <t xml:space="preserve">Cost Type </t>
  </si>
  <si>
    <r>
      <t xml:space="preserve">World </t>
    </r>
    <r>
      <rPr>
        <b/>
        <sz val="12"/>
        <color theme="1"/>
        <rFont val="Aptos Narrow"/>
        <scheme val="minor"/>
      </rPr>
      <t>with</t>
    </r>
    <r>
      <rPr>
        <sz val="12"/>
        <color theme="1"/>
        <rFont val="Aptos Narrow"/>
        <family val="2"/>
        <scheme val="minor"/>
      </rPr>
      <t xml:space="preserve"> TOTAL</t>
    </r>
  </si>
  <si>
    <r>
      <t xml:space="preserve">World </t>
    </r>
    <r>
      <rPr>
        <b/>
        <sz val="12"/>
        <color theme="1"/>
        <rFont val="Aptos Narrow"/>
        <scheme val="minor"/>
      </rPr>
      <t>without</t>
    </r>
    <r>
      <rPr>
        <sz val="12"/>
        <color theme="1"/>
        <rFont val="Aptos Narrow"/>
        <family val="2"/>
        <scheme val="minor"/>
      </rPr>
      <t xml:space="preserve"> TOTAL</t>
    </r>
  </si>
  <si>
    <t xml:space="preserve">Budget impact TOTAL </t>
  </si>
  <si>
    <r>
      <t xml:space="preserve">World </t>
    </r>
    <r>
      <rPr>
        <b/>
        <sz val="12"/>
        <color theme="1"/>
        <rFont val="Aptos Narrow"/>
        <scheme val="minor"/>
      </rPr>
      <t>with</t>
    </r>
    <r>
      <rPr>
        <sz val="12"/>
        <color theme="1"/>
        <rFont val="Aptos Narrow"/>
        <family val="2"/>
        <scheme val="minor"/>
      </rPr>
      <t xml:space="preserve"> - per patient </t>
    </r>
  </si>
  <si>
    <r>
      <t xml:space="preserve">World </t>
    </r>
    <r>
      <rPr>
        <b/>
        <sz val="12"/>
        <color theme="1"/>
        <rFont val="Aptos Narrow"/>
        <scheme val="minor"/>
      </rPr>
      <t>without</t>
    </r>
    <r>
      <rPr>
        <sz val="12"/>
        <color theme="1"/>
        <rFont val="Aptos Narrow"/>
        <family val="2"/>
        <scheme val="minor"/>
      </rPr>
      <t xml:space="preserve"> - per patient </t>
    </r>
  </si>
  <si>
    <t>Budget Impact - per patient</t>
  </si>
  <si>
    <r>
      <t>Detailed results (</t>
    </r>
    <r>
      <rPr>
        <b/>
        <sz val="12"/>
        <color theme="1"/>
        <rFont val="Aptos Narrow"/>
        <scheme val="minor"/>
      </rPr>
      <t>TOTAL</t>
    </r>
    <r>
      <rPr>
        <sz val="12"/>
        <color theme="1"/>
        <rFont val="Aptos Narrow"/>
        <family val="2"/>
        <scheme val="minor"/>
      </rPr>
      <t>)</t>
    </r>
  </si>
  <si>
    <r>
      <t xml:space="preserve">Detailed results - </t>
    </r>
    <r>
      <rPr>
        <b/>
        <sz val="12"/>
        <color theme="1"/>
        <rFont val="Aptos Narrow"/>
        <scheme val="minor"/>
      </rPr>
      <t>per patient</t>
    </r>
    <r>
      <rPr>
        <sz val="12"/>
        <color theme="1"/>
        <rFont val="Aptos Narrow"/>
        <family val="2"/>
        <scheme val="minor"/>
      </rPr>
      <t xml:space="preserve"> </t>
    </r>
  </si>
  <si>
    <t>Budget Impact Analysis - TOTAL</t>
  </si>
  <si>
    <t>Budget Impact analysis - per 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</si>
</sst>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THB&quot;* #,##0.00_);_(&quot;THB&quot;* \(#,##0.00\);_(&quot;THB&quot;* &quot;-&quot;??_);_(@_)"/>
    <numFmt numFmtId="164" formatCode="_-[$£-809]* #,##0.00_-;\-[$£-809]* #,##0.00_-;_-[$£-809]* &quot;-&quot;??_-;_-@_-"/>
    <numFmt numFmtId="165" formatCode="_-[$£-809]* #,##0_-;\-[$£-809]* #,##0_-;_-[$£-809]* &quot;-&quot;??_-;_-@_-"/>
    <numFmt numFmtId="166" formatCode="_-[$£-809]* #,##0.000_-;\-[$£-809]* #,##0.000_-;_-[$£-809]* &quot;-&quot;??_-;_-@_-"/>
    <numFmt numFmtId="167" formatCode="_-[$£-809]* #,##0_-;\-[$£-809]* #,##0_-;_-[$£-809]* &quot;-&quot;?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3" fillId="3" borderId="4" xfId="0" applyFont="1" applyFill="1" applyBorder="1"/>
    <xf numFmtId="0" fontId="0" fillId="3" borderId="5" xfId="0" applyFill="1" applyBorder="1"/>
    <xf numFmtId="0" fontId="0" fillId="3" borderId="4" xfId="0" applyFill="1" applyBorder="1"/>
    <xf numFmtId="0" fontId="0" fillId="0" borderId="1" xfId="0" applyBorder="1"/>
    <xf numFmtId="164" fontId="2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164" fontId="0" fillId="0" borderId="1" xfId="0" applyNumberFormat="1" applyBorder="1"/>
    <xf numFmtId="0" fontId="0" fillId="0" borderId="2" xfId="0" applyBorder="1"/>
    <xf numFmtId="0" fontId="0" fillId="0" borderId="8" xfId="0" applyBorder="1"/>
    <xf numFmtId="164" fontId="0" fillId="0" borderId="8" xfId="0" applyNumberFormat="1" applyBorder="1"/>
    <xf numFmtId="0" fontId="0" fillId="0" borderId="3" xfId="0" applyBorder="1"/>
    <xf numFmtId="0" fontId="2" fillId="7" borderId="4" xfId="0" applyFont="1" applyFill="1" applyBorder="1"/>
    <xf numFmtId="0" fontId="2" fillId="7" borderId="0" xfId="0" applyFont="1" applyFill="1"/>
    <xf numFmtId="164" fontId="2" fillId="7" borderId="0" xfId="0" applyNumberFormat="1" applyFont="1" applyFill="1"/>
    <xf numFmtId="0" fontId="2" fillId="7" borderId="5" xfId="0" applyFont="1" applyFill="1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0" xfId="0" applyNumberFormat="1" applyFill="1"/>
    <xf numFmtId="164" fontId="0" fillId="3" borderId="5" xfId="0" applyNumberFormat="1" applyFill="1" applyBorder="1"/>
    <xf numFmtId="9" fontId="0" fillId="0" borderId="0" xfId="0" applyNumberFormat="1"/>
    <xf numFmtId="9" fontId="0" fillId="0" borderId="5" xfId="0" applyNumberFormat="1" applyBorder="1"/>
    <xf numFmtId="0" fontId="2" fillId="8" borderId="4" xfId="0" applyFont="1" applyFill="1" applyBorder="1"/>
    <xf numFmtId="0" fontId="2" fillId="8" borderId="0" xfId="0" applyFont="1" applyFill="1"/>
    <xf numFmtId="164" fontId="2" fillId="8" borderId="0" xfId="0" applyNumberFormat="1" applyFont="1" applyFill="1"/>
    <xf numFmtId="0" fontId="2" fillId="8" borderId="5" xfId="0" applyFont="1" applyFill="1" applyBorder="1"/>
    <xf numFmtId="0" fontId="0" fillId="0" borderId="6" xfId="0" applyBorder="1"/>
    <xf numFmtId="0" fontId="0" fillId="0" borderId="9" xfId="0" applyBorder="1"/>
    <xf numFmtId="0" fontId="0" fillId="9" borderId="6" xfId="0" applyFill="1" applyBorder="1"/>
    <xf numFmtId="0" fontId="0" fillId="9" borderId="9" xfId="0" applyFill="1" applyBorder="1"/>
    <xf numFmtId="164" fontId="0" fillId="9" borderId="9" xfId="0" applyNumberFormat="1" applyFill="1" applyBorder="1"/>
    <xf numFmtId="164" fontId="0" fillId="9" borderId="7" xfId="0" applyNumberFormat="1" applyFill="1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wrapText="1"/>
    </xf>
    <xf numFmtId="0" fontId="0" fillId="0" borderId="7" xfId="0" applyBorder="1"/>
    <xf numFmtId="0" fontId="0" fillId="9" borderId="7" xfId="0" applyFill="1" applyBorder="1"/>
    <xf numFmtId="0" fontId="0" fillId="10" borderId="4" xfId="0" applyFill="1" applyBorder="1"/>
    <xf numFmtId="0" fontId="0" fillId="10" borderId="0" xfId="0" applyFill="1"/>
    <xf numFmtId="0" fontId="0" fillId="10" borderId="5" xfId="0" applyFill="1" applyBorder="1"/>
    <xf numFmtId="0" fontId="2" fillId="2" borderId="2" xfId="0" applyFont="1" applyFill="1" applyBorder="1"/>
    <xf numFmtId="0" fontId="2" fillId="2" borderId="8" xfId="0" applyFont="1" applyFill="1" applyBorder="1"/>
    <xf numFmtId="0" fontId="2" fillId="2" borderId="3" xfId="0" applyFont="1" applyFill="1" applyBorder="1"/>
    <xf numFmtId="0" fontId="0" fillId="10" borderId="10" xfId="0" applyFill="1" applyBorder="1"/>
    <xf numFmtId="0" fontId="0" fillId="10" borderId="1" xfId="0" applyFill="1" applyBorder="1"/>
    <xf numFmtId="0" fontId="0" fillId="10" borderId="11" xfId="0" applyFill="1" applyBorder="1"/>
    <xf numFmtId="9" fontId="0" fillId="0" borderId="9" xfId="0" applyNumberFormat="1" applyBorder="1"/>
    <xf numFmtId="9" fontId="0" fillId="0" borderId="7" xfId="0" applyNumberFormat="1" applyBorder="1"/>
    <xf numFmtId="0" fontId="0" fillId="0" borderId="12" xfId="0" applyBorder="1"/>
    <xf numFmtId="165" fontId="0" fillId="0" borderId="12" xfId="1" applyNumberFormat="1" applyFont="1" applyBorder="1"/>
    <xf numFmtId="166" fontId="0" fillId="0" borderId="12" xfId="1" applyNumberFormat="1" applyFont="1" applyBorder="1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12" xfId="0" applyNumberFormat="1" applyBorder="1"/>
    <xf numFmtId="165" fontId="0" fillId="0" borderId="0" xfId="1" applyNumberFormat="1" applyFont="1" applyFill="1" applyBorder="1"/>
    <xf numFmtId="165" fontId="0" fillId="0" borderId="0" xfId="0" applyNumberFormat="1"/>
    <xf numFmtId="165" fontId="0" fillId="0" borderId="1" xfId="0" applyNumberFormat="1" applyBorder="1"/>
    <xf numFmtId="0" fontId="0" fillId="0" borderId="0" xfId="1" applyNumberFormat="1" applyFont="1" applyBorder="1"/>
    <xf numFmtId="0" fontId="0" fillId="0" borderId="1" xfId="1" applyNumberFormat="1" applyFont="1" applyBorder="1"/>
    <xf numFmtId="167" fontId="0" fillId="0" borderId="0" xfId="0" applyNumberFormat="1"/>
    <xf numFmtId="167" fontId="0" fillId="0" borderId="1" xfId="0" applyNumberFormat="1" applyBorder="1"/>
    <xf numFmtId="166" fontId="0" fillId="0" borderId="14" xfId="1" applyNumberFormat="1" applyFont="1" applyBorder="1"/>
    <xf numFmtId="166" fontId="0" fillId="0" borderId="5" xfId="1" applyNumberFormat="1" applyFont="1" applyBorder="1"/>
    <xf numFmtId="166" fontId="0" fillId="0" borderId="11" xfId="1" applyNumberFormat="1" applyFont="1" applyBorder="1"/>
    <xf numFmtId="165" fontId="0" fillId="0" borderId="5" xfId="0" applyNumberFormat="1" applyBorder="1"/>
    <xf numFmtId="165" fontId="0" fillId="0" borderId="14" xfId="0" applyNumberFormat="1" applyBorder="1"/>
    <xf numFmtId="165" fontId="0" fillId="0" borderId="11" xfId="0" applyNumberFormat="1" applyBorder="1"/>
    <xf numFmtId="165" fontId="0" fillId="0" borderId="14" xfId="1" applyNumberFormat="1" applyFont="1" applyBorder="1"/>
    <xf numFmtId="165" fontId="0" fillId="0" borderId="5" xfId="1" applyNumberFormat="1" applyFont="1" applyBorder="1"/>
    <xf numFmtId="165" fontId="0" fillId="0" borderId="11" xfId="1" applyNumberFormat="1" applyFont="1" applyBorder="1"/>
    <xf numFmtId="167" fontId="0" fillId="0" borderId="5" xfId="0" applyNumberFormat="1" applyBorder="1"/>
    <xf numFmtId="167" fontId="0" fillId="0" borderId="11" xfId="0" applyNumberFormat="1" applyBorder="1"/>
    <xf numFmtId="167" fontId="0" fillId="0" borderId="9" xfId="0" applyNumberFormat="1" applyBorder="1"/>
    <xf numFmtId="167" fontId="0" fillId="0" borderId="7" xfId="0" applyNumberFormat="1" applyBorder="1"/>
    <xf numFmtId="165" fontId="0" fillId="10" borderId="0" xfId="0" applyNumberFormat="1" applyFill="1"/>
    <xf numFmtId="165" fontId="0" fillId="10" borderId="5" xfId="0" applyNumberFormat="1" applyFill="1" applyBorder="1"/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Sheet1!$M$65</c:f>
              <c:strCache>
                <c:ptCount val="1"/>
                <c:pt idx="0">
                  <c:v>World with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Sheet1!$N$65:$S$65</c:f>
              <c:numCache>
                <c:formatCode>_-[$£-809]* #,##0_-;\-[$£-809]* #,##0_-;_-[$£-809]* "-"??_-;_-@_-</c:formatCode>
                <c:ptCount val="6"/>
                <c:pt idx="0">
                  <c:v>669438000</c:v>
                </c:pt>
                <c:pt idx="1">
                  <c:v>805695600</c:v>
                </c:pt>
                <c:pt idx="2">
                  <c:v>972582000</c:v>
                </c:pt>
                <c:pt idx="3">
                  <c:v>1153868400</c:v>
                </c:pt>
                <c:pt idx="4">
                  <c:v>1375383600</c:v>
                </c:pt>
                <c:pt idx="5">
                  <c:v>1616098800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9-484A-81D4-FAF108F33BA9}"/>
            </c:ext>
          </c:extLst>
        </c:ser>
        <c:ser>
          <c:idx val="1"/>
          <c:order val="1"/>
          <c:tx>
            <c:strRef>
              <c:f>Sheet1!$M$66</c:f>
              <c:strCache>
                <c:ptCount val="1"/>
                <c:pt idx="0">
                  <c:v>World without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Sheet1!$N$66:$S$66</c:f>
              <c:numCache>
                <c:formatCode>_-[$£-809]* #,##0_-;\-[$£-809]* #,##0_-;_-[$£-809]* "-"??_-;_-@_-</c:formatCode>
                <c:ptCount val="6"/>
                <c:pt idx="0">
                  <c:v>669438000</c:v>
                </c:pt>
                <c:pt idx="1">
                  <c:v>768438000</c:v>
                </c:pt>
                <c:pt idx="2">
                  <c:v>867438000</c:v>
                </c:pt>
                <c:pt idx="3">
                  <c:v>966438000</c:v>
                </c:pt>
                <c:pt idx="4">
                  <c:v>1065438000</c:v>
                </c:pt>
                <c:pt idx="5">
                  <c:v>1164438000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9-484A-81D4-FAF108F33BA9}"/>
            </c:ext>
          </c:extLst>
        </c:ser>
        <c:ser>
          <c:idx val="2"/>
          <c:order val="2"/>
          <c:tx>
            <c:strRef>
              <c:f>Sheet1!$M$67</c:f>
              <c:strCache>
                <c:ptCount val="1"/>
                <c:pt idx="0">
                  <c:v>Budget impact TOTAL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Sheet1!$N$67:$S$67</c:f>
              <c:numCache>
                <c:formatCode>_-[$£-809]* #,##0_-;\-[$£-809]* #,##0_-;_-[$£-809]* "-"??_-;_-@_-</c:formatCode>
                <c:ptCount val="6"/>
                <c:pt idx="0">
                  <c:v>0</c:v>
                </c:pt>
                <c:pt idx="1">
                  <c:v>37257600</c:v>
                </c:pt>
                <c:pt idx="2">
                  <c:v>105144000</c:v>
                </c:pt>
                <c:pt idx="3">
                  <c:v>187430400</c:v>
                </c:pt>
                <c:pt idx="4">
                  <c:v>309945600</c:v>
                </c:pt>
                <c:pt idx="5">
                  <c:v>451660800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9-484A-81D4-FAF108F33B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00272080"/>
        <c:axId val="978439120"/>
      </c:barChart>
      <c:catAx>
        <c:axId val="40027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978439120"/>
        <c:crosses val="autoZero"/>
        <c:auto val="1"/>
        <c:lblAlgn val="ctr"/>
        <c:lblOffset val="100"/>
        <c:noMultiLvlLbl val="0"/>
      </c:catAx>
      <c:valAx>
        <c:axId val="978439120"/>
        <c:scaling>
          <c:orientation val="minMax"/>
        </c:scaling>
        <c:delete val="0"/>
        <c:axPos val="l"/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40027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Sheet1!$M$68</c:f>
              <c:strCache>
                <c:ptCount val="1"/>
                <c:pt idx="0">
                  <c:v>World with - per patient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Sheet1!$N$68:$S$68</c:f>
              <c:numCache>
                <c:formatCode>_-[$£-809]* #,##0_-;\-[$£-809]* #,##0_-;_-[$£-809]* "-"??_-;_-@_-</c:formatCode>
                <c:ptCount val="6"/>
                <c:pt idx="0">
                  <c:v>660</c:v>
                </c:pt>
                <c:pt idx="1">
                  <c:v>692</c:v>
                </c:pt>
                <c:pt idx="2">
                  <c:v>740</c:v>
                </c:pt>
                <c:pt idx="3">
                  <c:v>788</c:v>
                </c:pt>
                <c:pt idx="4">
                  <c:v>852</c:v>
                </c:pt>
                <c:pt idx="5">
                  <c:v>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0-534C-A3DC-84677FB801B8}"/>
            </c:ext>
          </c:extLst>
        </c:ser>
        <c:ser>
          <c:idx val="1"/>
          <c:order val="1"/>
          <c:tx>
            <c:strRef>
              <c:f>Sheet1!$M$69</c:f>
              <c:strCache>
                <c:ptCount val="1"/>
                <c:pt idx="0">
                  <c:v>World without - per patient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Sheet1!$N$69:$S$69</c:f>
              <c:numCache>
                <c:formatCode>_-[$£-809]* #,##0_-;\-[$£-809]* #,##0_-;_-[$£-809]* "-"??_-;_-@_-</c:formatCode>
                <c:ptCount val="6"/>
                <c:pt idx="0">
                  <c:v>660</c:v>
                </c:pt>
                <c:pt idx="1">
                  <c:v>660</c:v>
                </c:pt>
                <c:pt idx="2">
                  <c:v>660</c:v>
                </c:pt>
                <c:pt idx="3">
                  <c:v>660</c:v>
                </c:pt>
                <c:pt idx="4">
                  <c:v>660</c:v>
                </c:pt>
                <c:pt idx="5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0-534C-A3DC-84677FB801B8}"/>
            </c:ext>
          </c:extLst>
        </c:ser>
        <c:ser>
          <c:idx val="2"/>
          <c:order val="2"/>
          <c:tx>
            <c:strRef>
              <c:f>Sheet1!$M$70</c:f>
              <c:strCache>
                <c:ptCount val="1"/>
                <c:pt idx="0">
                  <c:v>Budget Impact - per patient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Sheet1!$N$70:$S$70</c:f>
              <c:numCache>
                <c:formatCode>_-[$£-809]* #,##0_-;\-[$£-809]* #,##0_-;_-[$£-809]* "-"??_-;_-@_-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80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10-534C-A3DC-84677FB801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91038272"/>
        <c:axId val="391039984"/>
      </c:barChart>
      <c:catAx>
        <c:axId val="3910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391039984"/>
        <c:crosses val="autoZero"/>
        <c:auto val="1"/>
        <c:lblAlgn val="ctr"/>
        <c:lblOffset val="100"/>
        <c:noMultiLvlLbl val="0"/>
      </c:catAx>
      <c:valAx>
        <c:axId val="391039984"/>
        <c:scaling>
          <c:orientation val="minMax"/>
        </c:scaling>
        <c:delete val="0"/>
        <c:axPos val="l"/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39103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805225</xdr:colOff>
      <xdr:row>4</xdr:row>
      <xdr:rowOff>133684</xdr:rowOff>
    </xdr:from>
    <xdr:to>
      <xdr:col>33</xdr:col>
      <xdr:colOff>805225</xdr:colOff>
      <xdr:row>34</xdr:row>
      <xdr:rowOff>133684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DFA5CF-81DB-71BD-8167-8F84D7A51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28701</xdr:colOff>
      <xdr:row>39</xdr:row>
      <xdr:rowOff>186152</xdr:rowOff>
    </xdr:from>
    <xdr:to>
      <xdr:col>33</xdr:col>
      <xdr:colOff>824384</xdr:colOff>
      <xdr:row>66</xdr:row>
      <xdr:rowOff>178245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19F9A0-1562-E101-08E2-F409817F8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veena Singh" id="{FDBEDFEE-01AA-B641-AF0D-23C97AA46E05}" userId="087de818f432e10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11-05T13:00:04.93" personId="{FDBEDFEE-01AA-B641-AF0D-23C97AA46E05}" id="{EF08CBBF-107F-244A-9F80-64B37B4F4D7A}">
    <text xml:space="preserve">- To understand the disease prevalence and how many people actually have the disease right now. 
- We also need to understand the disease incidence, grasping how many new cases have appeared over a defined time period. </text>
  </threadedComment>
  <threadedComment ref="H10" dT="2025-11-05T13:20:14.93" personId="{FDBEDFEE-01AA-B641-AF0D-23C97AA46E05}" id="{8E091F47-028E-1541-9BC2-76C716AC58DA}">
    <text xml:space="preserve">treatment offered when patients fail the first-line therapy - main focus of this case </text>
  </threadedComment>
  <threadedComment ref="H18" dT="2025-11-05T14:17:02.29" personId="{FDBEDFEE-01AA-B641-AF0D-23C97AA46E05}" id="{A72C6C48-DB3D-2941-8464-90F61277D633}">
    <text xml:space="preserve">does not account for patients exiting the model - through deaths or end of treatment </text>
  </threadedComment>
  <threadedComment ref="F25" dT="2025-11-03T21:06:32.97" personId="{FDBEDFEE-01AA-B641-AF0D-23C97AA46E05}" id="{E33714CB-B801-D94F-850C-20626A7BE2EB}">
    <text>current standard care don't incur additional injection costs, since it is administered by own ingestion of drug</text>
  </threadedComment>
  <threadedComment ref="C37" dT="2025-11-03T21:14:04.07" personId="{FDBEDFEE-01AA-B641-AF0D-23C97AA46E05}" id="{0DA5AC1A-43AF-704F-B64A-3359A32EA512}">
    <text xml:space="preserve">costly to treat these severe side effects that occur in 2% of the population being treated </text>
  </threadedComment>
  <threadedComment ref="A43" dT="2025-11-03T21:34:35.41" personId="{FDBEDFEE-01AA-B641-AF0D-23C97AA46E05}" id="{6209E2B9-310F-E443-8814-DB4796F189CE}">
    <text>For instance - cardiovascular events. Hospitalisation needs to be part of the broader diabetes disease burden, otherwise they might fall under treatment-related costs. --- ??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4BB4-1917-BC41-862D-5F2FE315B6AF}">
  <dimension ref="A1:V89"/>
  <sheetViews>
    <sheetView tabSelected="1" topLeftCell="J1" zoomScaleNormal="110" workbookViewId="0">
      <selection activeCell="I63" sqref="I63"/>
    </sheetView>
  </sheetViews>
  <sheetFormatPr baseColWidth="10" defaultRowHeight="16" x14ac:dyDescent="0.2"/>
  <cols>
    <col min="1" max="1" width="37" customWidth="1"/>
    <col min="2" max="2" width="14.6640625" customWidth="1"/>
    <col min="3" max="3" width="14.83203125" style="12" customWidth="1"/>
    <col min="4" max="5" width="14.83203125" customWidth="1"/>
    <col min="6" max="6" width="12.6640625" customWidth="1"/>
    <col min="8" max="8" width="33.6640625" customWidth="1"/>
    <col min="9" max="10" width="26.1640625" customWidth="1"/>
    <col min="11" max="11" width="16.83203125" customWidth="1"/>
    <col min="12" max="12" width="14" customWidth="1"/>
    <col min="13" max="13" width="25.1640625" customWidth="1"/>
    <col min="14" max="20" width="20" customWidth="1"/>
  </cols>
  <sheetData>
    <row r="1" spans="1:22" x14ac:dyDescent="0.2">
      <c r="A1" s="99" t="s">
        <v>0</v>
      </c>
      <c r="B1" s="100"/>
      <c r="C1" s="11"/>
      <c r="D1" s="3"/>
    </row>
    <row r="2" spans="1:22" ht="17" thickBot="1" x14ac:dyDescent="0.25">
      <c r="A2" s="5"/>
      <c r="B2" s="6"/>
    </row>
    <row r="3" spans="1:22" x14ac:dyDescent="0.2">
      <c r="A3" s="7" t="s">
        <v>1</v>
      </c>
      <c r="B3" s="8"/>
      <c r="H3" s="53" t="s">
        <v>30</v>
      </c>
      <c r="I3" s="54"/>
      <c r="J3" s="55"/>
      <c r="L3" s="53" t="s">
        <v>55</v>
      </c>
      <c r="M3" s="54"/>
      <c r="N3" s="54"/>
      <c r="O3" s="54"/>
      <c r="P3" s="54"/>
      <c r="Q3" s="54"/>
      <c r="R3" s="54"/>
      <c r="S3" s="54"/>
      <c r="T3" s="55"/>
    </row>
    <row r="4" spans="1:22" x14ac:dyDescent="0.2">
      <c r="A4" s="101" t="s">
        <v>2</v>
      </c>
      <c r="B4" s="102"/>
      <c r="H4" s="5"/>
      <c r="J4" s="6"/>
      <c r="L4" s="5"/>
      <c r="T4" s="6"/>
      <c r="V4" t="s">
        <v>84</v>
      </c>
    </row>
    <row r="5" spans="1:22" x14ac:dyDescent="0.2">
      <c r="A5" s="101" t="s">
        <v>3</v>
      </c>
      <c r="B5" s="102"/>
      <c r="H5" s="56" t="s">
        <v>31</v>
      </c>
      <c r="I5" s="57" t="s">
        <v>32</v>
      </c>
      <c r="J5" s="58" t="s">
        <v>33</v>
      </c>
      <c r="L5" s="45" t="s">
        <v>56</v>
      </c>
      <c r="M5" s="10"/>
      <c r="N5" s="10"/>
      <c r="O5" s="10"/>
      <c r="P5" s="10"/>
      <c r="Q5" s="10"/>
      <c r="R5" s="10"/>
      <c r="S5" s="10"/>
      <c r="T5" s="46"/>
    </row>
    <row r="6" spans="1:22" x14ac:dyDescent="0.2">
      <c r="A6" s="9"/>
      <c r="B6" s="8"/>
      <c r="H6" s="5" t="s">
        <v>34</v>
      </c>
      <c r="J6" s="6">
        <v>57500000</v>
      </c>
      <c r="L6" s="5"/>
      <c r="T6" s="6"/>
    </row>
    <row r="7" spans="1:22" ht="16" customHeight="1" x14ac:dyDescent="0.2">
      <c r="A7" s="95" t="s">
        <v>4</v>
      </c>
      <c r="B7" s="96"/>
      <c r="C7" s="13"/>
      <c r="D7" s="2"/>
      <c r="E7" s="2"/>
      <c r="F7" s="2"/>
      <c r="G7" s="2"/>
      <c r="H7" s="47" t="s">
        <v>35</v>
      </c>
      <c r="I7" s="33">
        <v>7.0000000000000007E-2</v>
      </c>
      <c r="J7" s="6">
        <f>I7*J6</f>
        <v>4025000.0000000005</v>
      </c>
      <c r="L7" s="5"/>
      <c r="N7" t="s">
        <v>57</v>
      </c>
      <c r="T7" s="6"/>
    </row>
    <row r="8" spans="1:22" ht="17" thickBot="1" x14ac:dyDescent="0.25">
      <c r="A8" s="97"/>
      <c r="B8" s="98"/>
      <c r="C8" s="13"/>
      <c r="D8" s="2"/>
      <c r="H8" s="5" t="s">
        <v>36</v>
      </c>
      <c r="I8" s="33">
        <v>0.9</v>
      </c>
      <c r="J8" s="6">
        <f>I8*J7</f>
        <v>3622500.0000000005</v>
      </c>
      <c r="L8" s="5"/>
      <c r="N8" t="s">
        <v>58</v>
      </c>
      <c r="O8" t="s">
        <v>59</v>
      </c>
      <c r="P8" t="s">
        <v>60</v>
      </c>
      <c r="Q8" t="s">
        <v>61</v>
      </c>
      <c r="R8" t="s">
        <v>62</v>
      </c>
      <c r="S8" t="s">
        <v>63</v>
      </c>
      <c r="T8" s="94" t="s">
        <v>64</v>
      </c>
    </row>
    <row r="9" spans="1:22" x14ac:dyDescent="0.2">
      <c r="H9" s="5" t="s">
        <v>37</v>
      </c>
      <c r="I9" s="33">
        <v>0.7</v>
      </c>
      <c r="J9" s="6">
        <f>I9*J8</f>
        <v>2535750</v>
      </c>
      <c r="L9" s="5"/>
      <c r="N9" t="s">
        <v>65</v>
      </c>
      <c r="O9">
        <v>2026</v>
      </c>
      <c r="P9">
        <v>2027</v>
      </c>
      <c r="Q9">
        <v>2028</v>
      </c>
      <c r="R9">
        <v>2029</v>
      </c>
      <c r="S9">
        <v>2030</v>
      </c>
      <c r="T9" s="94"/>
    </row>
    <row r="10" spans="1:22" ht="17" thickBot="1" x14ac:dyDescent="0.25">
      <c r="H10" s="5" t="s">
        <v>38</v>
      </c>
      <c r="I10" s="33">
        <v>0.4</v>
      </c>
      <c r="J10" s="6">
        <f>I10*J9</f>
        <v>1014300</v>
      </c>
      <c r="L10" s="5"/>
      <c r="M10" t="s">
        <v>66</v>
      </c>
      <c r="N10" cm="1">
        <f t="array" ref="N10:S10">TRANSPOSE(I21:I26)</f>
        <v>1014300</v>
      </c>
      <c r="O10">
        <v>1164300</v>
      </c>
      <c r="P10">
        <v>1314300</v>
      </c>
      <c r="Q10">
        <v>1464300</v>
      </c>
      <c r="R10">
        <v>1614300</v>
      </c>
      <c r="S10">
        <v>1764300</v>
      </c>
      <c r="T10" s="6">
        <f>SUM(N10:S10)-N10</f>
        <v>7321500</v>
      </c>
    </row>
    <row r="11" spans="1:22" x14ac:dyDescent="0.2">
      <c r="A11" s="15" t="s">
        <v>5</v>
      </c>
      <c r="B11" s="16"/>
      <c r="C11" s="17"/>
      <c r="D11" s="16"/>
      <c r="E11" s="16"/>
      <c r="F11" s="18"/>
      <c r="H11" s="5"/>
      <c r="J11" s="6"/>
      <c r="L11" s="5"/>
      <c r="T11" s="6"/>
    </row>
    <row r="12" spans="1:22" x14ac:dyDescent="0.2">
      <c r="A12" s="5"/>
      <c r="F12" s="6"/>
      <c r="H12" s="50" t="s">
        <v>39</v>
      </c>
      <c r="I12" s="51"/>
      <c r="J12" s="52">
        <f>J10</f>
        <v>1014300</v>
      </c>
      <c r="L12" s="45" t="s">
        <v>67</v>
      </c>
      <c r="M12" s="10"/>
      <c r="N12" s="10"/>
      <c r="O12" s="10"/>
      <c r="P12" s="10"/>
      <c r="Q12" s="10"/>
      <c r="R12" s="10"/>
      <c r="S12" s="10"/>
      <c r="T12" s="46"/>
    </row>
    <row r="13" spans="1:22" x14ac:dyDescent="0.2">
      <c r="A13" s="19" t="s">
        <v>6</v>
      </c>
      <c r="B13" s="20"/>
      <c r="C13" s="21"/>
      <c r="D13" s="20"/>
      <c r="E13" s="20"/>
      <c r="F13" s="22"/>
      <c r="H13" s="5"/>
      <c r="J13" s="6"/>
      <c r="L13" s="5"/>
      <c r="T13" s="6"/>
    </row>
    <row r="14" spans="1:22" ht="17" thickBot="1" x14ac:dyDescent="0.25">
      <c r="A14" s="5"/>
      <c r="F14" s="6"/>
      <c r="H14" s="41" t="s">
        <v>40</v>
      </c>
      <c r="I14" s="42"/>
      <c r="J14" s="49">
        <v>150000</v>
      </c>
      <c r="L14" s="5"/>
      <c r="N14" t="s">
        <v>57</v>
      </c>
      <c r="T14" s="6"/>
    </row>
    <row r="15" spans="1:22" x14ac:dyDescent="0.2">
      <c r="A15" s="5" t="s">
        <v>7</v>
      </c>
      <c r="C15" s="14" t="s">
        <v>8</v>
      </c>
      <c r="E15" s="10" t="s">
        <v>9</v>
      </c>
      <c r="F15" s="6"/>
      <c r="L15" s="5"/>
      <c r="N15" t="s">
        <v>58</v>
      </c>
      <c r="O15" t="s">
        <v>59</v>
      </c>
      <c r="P15" t="s">
        <v>60</v>
      </c>
      <c r="Q15" t="s">
        <v>61</v>
      </c>
      <c r="R15" t="s">
        <v>62</v>
      </c>
      <c r="S15" t="s">
        <v>63</v>
      </c>
      <c r="T15" s="94" t="s">
        <v>64</v>
      </c>
    </row>
    <row r="16" spans="1:22" x14ac:dyDescent="0.2">
      <c r="A16" s="5"/>
      <c r="C16" s="23"/>
      <c r="D16" s="24"/>
      <c r="E16" s="25" t="s">
        <v>10</v>
      </c>
      <c r="F16" s="26" t="s">
        <v>11</v>
      </c>
      <c r="L16" s="5"/>
      <c r="N16" t="s">
        <v>65</v>
      </c>
      <c r="O16">
        <v>2026</v>
      </c>
      <c r="P16">
        <v>2027</v>
      </c>
      <c r="Q16">
        <v>2028</v>
      </c>
      <c r="R16">
        <v>2029</v>
      </c>
      <c r="S16">
        <v>2030</v>
      </c>
      <c r="T16" s="94"/>
    </row>
    <row r="17" spans="1:20" ht="17" thickBot="1" x14ac:dyDescent="0.25">
      <c r="A17" s="5" t="s">
        <v>13</v>
      </c>
      <c r="C17" s="23">
        <v>500</v>
      </c>
      <c r="D17" s="24"/>
      <c r="E17" s="24">
        <v>1</v>
      </c>
      <c r="F17" s="27">
        <v>0</v>
      </c>
      <c r="L17" s="5"/>
      <c r="M17" t="s">
        <v>52</v>
      </c>
      <c r="N17" cm="1">
        <f t="array" ref="N17:S17">TRANSPOSE(I44:I49)</f>
        <v>0</v>
      </c>
      <c r="O17">
        <v>0.1</v>
      </c>
      <c r="P17">
        <v>0.25</v>
      </c>
      <c r="Q17">
        <v>0.4</v>
      </c>
      <c r="R17">
        <v>0.6</v>
      </c>
      <c r="S17">
        <v>0.8</v>
      </c>
      <c r="T17" s="6"/>
    </row>
    <row r="18" spans="1:20" x14ac:dyDescent="0.2">
      <c r="A18" s="5" t="s">
        <v>12</v>
      </c>
      <c r="C18" s="23">
        <v>300</v>
      </c>
      <c r="D18" s="24"/>
      <c r="E18" s="24">
        <v>0</v>
      </c>
      <c r="F18" s="27">
        <v>1</v>
      </c>
      <c r="H18" s="53" t="s">
        <v>41</v>
      </c>
      <c r="I18" s="55"/>
      <c r="L18" s="5"/>
      <c r="M18" t="s">
        <v>53</v>
      </c>
      <c r="N18" cm="1">
        <f t="array" ref="N18:S18">TRANSPOSE(J44:J49)</f>
        <v>1</v>
      </c>
      <c r="O18">
        <v>0.9</v>
      </c>
      <c r="P18">
        <v>0.75</v>
      </c>
      <c r="Q18">
        <v>0.6</v>
      </c>
      <c r="R18">
        <v>0.4</v>
      </c>
      <c r="S18">
        <v>0.2</v>
      </c>
      <c r="T18" s="6"/>
    </row>
    <row r="19" spans="1:20" x14ac:dyDescent="0.2">
      <c r="A19" s="9" t="s">
        <v>14</v>
      </c>
      <c r="B19" s="4"/>
      <c r="C19" s="28"/>
      <c r="D19" s="29"/>
      <c r="E19" s="28">
        <f>C17</f>
        <v>500</v>
      </c>
      <c r="F19" s="30">
        <f>C18</f>
        <v>300</v>
      </c>
      <c r="H19" s="5"/>
      <c r="I19" s="6"/>
      <c r="L19" s="5"/>
      <c r="T19" s="6"/>
    </row>
    <row r="20" spans="1:20" x14ac:dyDescent="0.2">
      <c r="A20" s="5"/>
      <c r="F20" s="6"/>
      <c r="H20" s="50" t="s">
        <v>42</v>
      </c>
      <c r="I20" s="52" t="s">
        <v>43</v>
      </c>
      <c r="L20" s="5" t="s">
        <v>68</v>
      </c>
      <c r="T20" s="6"/>
    </row>
    <row r="21" spans="1:20" x14ac:dyDescent="0.2">
      <c r="A21" s="5"/>
      <c r="F21" s="6"/>
      <c r="H21" s="5" t="s">
        <v>44</v>
      </c>
      <c r="I21" s="6">
        <f>J12</f>
        <v>1014300</v>
      </c>
      <c r="L21" s="5"/>
      <c r="T21" s="6"/>
    </row>
    <row r="22" spans="1:20" x14ac:dyDescent="0.2">
      <c r="A22" s="5" t="s">
        <v>15</v>
      </c>
      <c r="C22" s="14" t="s">
        <v>16</v>
      </c>
      <c r="E22" s="10" t="s">
        <v>9</v>
      </c>
      <c r="F22" s="6"/>
      <c r="H22" s="5" t="s">
        <v>45</v>
      </c>
      <c r="I22" s="6">
        <f>J12+J14</f>
        <v>1164300</v>
      </c>
      <c r="L22" s="5"/>
      <c r="N22" t="s">
        <v>57</v>
      </c>
      <c r="T22" s="6"/>
    </row>
    <row r="23" spans="1:20" x14ac:dyDescent="0.2">
      <c r="A23" s="5"/>
      <c r="C23" s="23"/>
      <c r="D23" s="24"/>
      <c r="E23" s="25" t="s">
        <v>10</v>
      </c>
      <c r="F23" s="26" t="s">
        <v>11</v>
      </c>
      <c r="H23" s="5" t="s">
        <v>46</v>
      </c>
      <c r="I23" s="6">
        <f>I22+J14</f>
        <v>1314300</v>
      </c>
      <c r="L23" s="5"/>
      <c r="N23" t="s">
        <v>58</v>
      </c>
      <c r="O23" t="s">
        <v>59</v>
      </c>
      <c r="P23" t="s">
        <v>60</v>
      </c>
      <c r="Q23" t="s">
        <v>61</v>
      </c>
      <c r="R23" t="s">
        <v>62</v>
      </c>
      <c r="S23" t="s">
        <v>63</v>
      </c>
      <c r="T23" s="94" t="s">
        <v>64</v>
      </c>
    </row>
    <row r="24" spans="1:20" x14ac:dyDescent="0.2">
      <c r="A24" s="5" t="s">
        <v>17</v>
      </c>
      <c r="C24" s="23">
        <v>50</v>
      </c>
      <c r="D24" s="24"/>
      <c r="E24" s="24">
        <v>4</v>
      </c>
      <c r="F24" s="27">
        <v>0</v>
      </c>
      <c r="H24" s="5" t="s">
        <v>47</v>
      </c>
      <c r="I24" s="6">
        <f>I23+J14</f>
        <v>1464300</v>
      </c>
      <c r="L24" s="5" t="s">
        <v>69</v>
      </c>
      <c r="N24" t="s">
        <v>65</v>
      </c>
      <c r="O24">
        <v>2026</v>
      </c>
      <c r="P24">
        <v>2027</v>
      </c>
      <c r="Q24">
        <v>2028</v>
      </c>
      <c r="R24">
        <v>2029</v>
      </c>
      <c r="S24">
        <v>2030</v>
      </c>
      <c r="T24" s="94"/>
    </row>
    <row r="25" spans="1:20" x14ac:dyDescent="0.2">
      <c r="A25" s="9" t="s">
        <v>14</v>
      </c>
      <c r="B25" s="4"/>
      <c r="C25" s="28"/>
      <c r="D25" s="29"/>
      <c r="E25" s="28">
        <f>C24*E24</f>
        <v>200</v>
      </c>
      <c r="F25" s="30">
        <f>C24*F24</f>
        <v>0</v>
      </c>
      <c r="H25" s="5" t="s">
        <v>48</v>
      </c>
      <c r="I25" s="6">
        <f>I24+J14</f>
        <v>1614300</v>
      </c>
      <c r="L25" s="89" t="s">
        <v>10</v>
      </c>
      <c r="M25" s="61" t="s">
        <v>70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74">
        <f>SUM(N25:S25)</f>
        <v>0</v>
      </c>
    </row>
    <row r="26" spans="1:20" ht="17" thickBot="1" x14ac:dyDescent="0.25">
      <c r="A26" s="5"/>
      <c r="F26" s="6"/>
      <c r="H26" s="39" t="s">
        <v>49</v>
      </c>
      <c r="I26" s="48">
        <f>I25+J14</f>
        <v>1764300</v>
      </c>
      <c r="L26" s="90"/>
      <c r="M26" t="s">
        <v>15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75">
        <f t="shared" ref="T26:T30" si="0">SUM(N26:S26)</f>
        <v>0</v>
      </c>
    </row>
    <row r="27" spans="1:20" x14ac:dyDescent="0.2">
      <c r="A27" s="5"/>
      <c r="F27" s="6"/>
      <c r="L27" s="90"/>
      <c r="M27" t="s">
        <v>71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75">
        <f t="shared" si="0"/>
        <v>0</v>
      </c>
    </row>
    <row r="28" spans="1:20" ht="17" thickBot="1" x14ac:dyDescent="0.25">
      <c r="A28" s="5" t="s">
        <v>18</v>
      </c>
      <c r="C28" s="14" t="s">
        <v>16</v>
      </c>
      <c r="E28" s="10" t="s">
        <v>9</v>
      </c>
      <c r="F28" s="6"/>
      <c r="L28" s="90"/>
      <c r="M28" t="s">
        <v>21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75">
        <f t="shared" si="0"/>
        <v>0</v>
      </c>
    </row>
    <row r="29" spans="1:20" x14ac:dyDescent="0.2">
      <c r="A29" s="5"/>
      <c r="C29" s="23"/>
      <c r="D29" s="24"/>
      <c r="E29" s="25" t="s">
        <v>10</v>
      </c>
      <c r="F29" s="26" t="s">
        <v>11</v>
      </c>
      <c r="H29" s="53" t="s">
        <v>50</v>
      </c>
      <c r="I29" s="54"/>
      <c r="J29" s="55"/>
      <c r="L29" s="90"/>
      <c r="M29" t="s">
        <v>25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75">
        <f t="shared" si="0"/>
        <v>0</v>
      </c>
    </row>
    <row r="30" spans="1:20" x14ac:dyDescent="0.2">
      <c r="A30" s="5" t="s">
        <v>20</v>
      </c>
      <c r="C30" s="12">
        <v>25</v>
      </c>
      <c r="E30">
        <v>4</v>
      </c>
      <c r="F30" s="6">
        <v>2</v>
      </c>
      <c r="H30" s="5"/>
      <c r="J30" s="6"/>
      <c r="L30" s="91"/>
      <c r="M30" s="10" t="s">
        <v>72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76">
        <f t="shared" si="0"/>
        <v>0</v>
      </c>
    </row>
    <row r="31" spans="1:20" x14ac:dyDescent="0.2">
      <c r="A31" s="9" t="s">
        <v>14</v>
      </c>
      <c r="B31" s="4"/>
      <c r="C31" s="4"/>
      <c r="D31" s="4"/>
      <c r="E31" s="31">
        <f>C30*E30</f>
        <v>100</v>
      </c>
      <c r="F31" s="32">
        <f>C30*F30</f>
        <v>50</v>
      </c>
      <c r="H31" s="5" t="s">
        <v>51</v>
      </c>
      <c r="J31" s="6"/>
      <c r="L31" s="5"/>
      <c r="N31" s="68"/>
      <c r="O31" s="68"/>
      <c r="P31" s="68"/>
      <c r="Q31" s="68"/>
      <c r="R31" s="68"/>
      <c r="S31" s="68"/>
      <c r="T31" s="77"/>
    </row>
    <row r="32" spans="1:20" x14ac:dyDescent="0.2">
      <c r="A32" s="5"/>
      <c r="F32" s="6"/>
      <c r="H32" s="5"/>
      <c r="J32" s="6"/>
      <c r="L32" s="89" t="s">
        <v>11</v>
      </c>
      <c r="M32" s="61" t="s">
        <v>70</v>
      </c>
      <c r="N32" s="66">
        <f>N10*$F$19</f>
        <v>304290000</v>
      </c>
      <c r="O32" s="66">
        <f t="shared" ref="O32:S32" si="1">O10*$F$19</f>
        <v>349290000</v>
      </c>
      <c r="P32" s="66">
        <f t="shared" si="1"/>
        <v>394290000</v>
      </c>
      <c r="Q32" s="66">
        <f t="shared" si="1"/>
        <v>439290000</v>
      </c>
      <c r="R32" s="66">
        <f t="shared" si="1"/>
        <v>484290000</v>
      </c>
      <c r="S32" s="66">
        <f t="shared" si="1"/>
        <v>529290000</v>
      </c>
      <c r="T32" s="78">
        <f>SUM(N32:S32)</f>
        <v>2500740000</v>
      </c>
    </row>
    <row r="33" spans="1:22" x14ac:dyDescent="0.2">
      <c r="A33" s="5"/>
      <c r="F33" s="6"/>
      <c r="H33" s="45"/>
      <c r="I33" s="10" t="s">
        <v>52</v>
      </c>
      <c r="J33" s="46" t="s">
        <v>53</v>
      </c>
      <c r="L33" s="90"/>
      <c r="M33" t="s">
        <v>15</v>
      </c>
      <c r="N33" s="67">
        <v>0</v>
      </c>
      <c r="O33" s="67">
        <v>0</v>
      </c>
      <c r="P33" s="67">
        <v>0</v>
      </c>
      <c r="Q33" s="67">
        <v>0</v>
      </c>
      <c r="R33" s="67">
        <v>0</v>
      </c>
      <c r="S33" s="67">
        <v>0</v>
      </c>
      <c r="T33" s="77">
        <f t="shared" ref="T33:T37" si="2">SUM(N33:S33)</f>
        <v>0</v>
      </c>
    </row>
    <row r="34" spans="1:22" x14ac:dyDescent="0.2">
      <c r="A34" s="5" t="s">
        <v>21</v>
      </c>
      <c r="C34" s="14" t="s">
        <v>16</v>
      </c>
      <c r="E34" s="10" t="s">
        <v>9</v>
      </c>
      <c r="F34" s="6"/>
      <c r="H34" s="5" t="s">
        <v>44</v>
      </c>
      <c r="I34" s="33">
        <v>0</v>
      </c>
      <c r="J34" s="34">
        <v>1</v>
      </c>
      <c r="L34" s="90"/>
      <c r="M34" t="s">
        <v>71</v>
      </c>
      <c r="N34" s="68">
        <f>N10*$F$31</f>
        <v>50715000</v>
      </c>
      <c r="O34" s="68">
        <f t="shared" ref="O34:S34" si="3">O10*$F$31</f>
        <v>58215000</v>
      </c>
      <c r="P34" s="68">
        <f t="shared" si="3"/>
        <v>65715000</v>
      </c>
      <c r="Q34" s="68">
        <f t="shared" si="3"/>
        <v>73215000</v>
      </c>
      <c r="R34" s="68">
        <f t="shared" si="3"/>
        <v>80715000</v>
      </c>
      <c r="S34" s="68">
        <f t="shared" si="3"/>
        <v>88215000</v>
      </c>
      <c r="T34" s="77">
        <f t="shared" si="2"/>
        <v>416790000</v>
      </c>
    </row>
    <row r="35" spans="1:22" x14ac:dyDescent="0.2">
      <c r="A35" s="5"/>
      <c r="C35" s="23"/>
      <c r="D35" s="24"/>
      <c r="E35" s="25" t="s">
        <v>10</v>
      </c>
      <c r="F35" s="26" t="s">
        <v>11</v>
      </c>
      <c r="H35" s="5" t="s">
        <v>45</v>
      </c>
      <c r="I35" s="33">
        <v>0</v>
      </c>
      <c r="J35" s="34">
        <v>1</v>
      </c>
      <c r="L35" s="90"/>
      <c r="M35" t="s">
        <v>21</v>
      </c>
      <c r="N35" s="68">
        <f>N10*$F$38</f>
        <v>60858000</v>
      </c>
      <c r="O35" s="68">
        <f t="shared" ref="O35:S35" si="4">O10*$F$38</f>
        <v>69858000</v>
      </c>
      <c r="P35" s="68">
        <f t="shared" si="4"/>
        <v>78858000</v>
      </c>
      <c r="Q35" s="68">
        <f t="shared" si="4"/>
        <v>87858000</v>
      </c>
      <c r="R35" s="68">
        <f t="shared" si="4"/>
        <v>96858000</v>
      </c>
      <c r="S35" s="68">
        <f t="shared" si="4"/>
        <v>105858000</v>
      </c>
      <c r="T35" s="77">
        <f t="shared" si="2"/>
        <v>500148000</v>
      </c>
    </row>
    <row r="36" spans="1:22" x14ac:dyDescent="0.2">
      <c r="A36" s="5" t="s">
        <v>22</v>
      </c>
      <c r="C36" s="12">
        <v>100</v>
      </c>
      <c r="E36" s="33">
        <v>0.05</v>
      </c>
      <c r="F36" s="34">
        <v>0</v>
      </c>
      <c r="H36" s="5" t="s">
        <v>46</v>
      </c>
      <c r="I36" s="33">
        <v>0</v>
      </c>
      <c r="J36" s="34">
        <v>1</v>
      </c>
      <c r="L36" s="90"/>
      <c r="M36" t="s">
        <v>25</v>
      </c>
      <c r="N36" s="68">
        <f>N10*$F$46</f>
        <v>76072500</v>
      </c>
      <c r="O36" s="68">
        <f t="shared" ref="O36:S36" si="5">O10*$F$46</f>
        <v>87322500</v>
      </c>
      <c r="P36" s="68">
        <f t="shared" si="5"/>
        <v>98572500</v>
      </c>
      <c r="Q36" s="68">
        <f t="shared" si="5"/>
        <v>109822500</v>
      </c>
      <c r="R36" s="68">
        <f t="shared" si="5"/>
        <v>121072500</v>
      </c>
      <c r="S36" s="68">
        <f t="shared" si="5"/>
        <v>132322500</v>
      </c>
      <c r="T36" s="77">
        <f t="shared" si="2"/>
        <v>625185000</v>
      </c>
    </row>
    <row r="37" spans="1:22" x14ac:dyDescent="0.2">
      <c r="A37" s="5" t="s">
        <v>23</v>
      </c>
      <c r="C37" s="12">
        <v>3000</v>
      </c>
      <c r="E37" s="33">
        <v>0</v>
      </c>
      <c r="F37" s="34">
        <v>0.02</v>
      </c>
      <c r="H37" s="5" t="s">
        <v>47</v>
      </c>
      <c r="I37" s="33">
        <v>0</v>
      </c>
      <c r="J37" s="34">
        <v>1</v>
      </c>
      <c r="L37" s="91"/>
      <c r="M37" s="10" t="s">
        <v>72</v>
      </c>
      <c r="N37" s="69">
        <f>N10*$F$52</f>
        <v>177502500</v>
      </c>
      <c r="O37" s="69">
        <f t="shared" ref="O37:S37" si="6">O10*$F$52</f>
        <v>203752500</v>
      </c>
      <c r="P37" s="69">
        <f t="shared" si="6"/>
        <v>230002500</v>
      </c>
      <c r="Q37" s="69">
        <f t="shared" si="6"/>
        <v>256252500</v>
      </c>
      <c r="R37" s="69">
        <f t="shared" si="6"/>
        <v>282502500</v>
      </c>
      <c r="S37" s="69">
        <f t="shared" si="6"/>
        <v>308752500</v>
      </c>
      <c r="T37" s="79">
        <f t="shared" si="2"/>
        <v>1458765000</v>
      </c>
    </row>
    <row r="38" spans="1:22" x14ac:dyDescent="0.2">
      <c r="A38" s="9" t="s">
        <v>14</v>
      </c>
      <c r="B38" s="4"/>
      <c r="C38" s="4"/>
      <c r="D38" s="4"/>
      <c r="E38" s="31">
        <f>C36*E36</f>
        <v>5</v>
      </c>
      <c r="F38" s="32">
        <f>C37*F37</f>
        <v>60</v>
      </c>
      <c r="H38" s="5" t="s">
        <v>48</v>
      </c>
      <c r="I38" s="33">
        <v>0</v>
      </c>
      <c r="J38" s="34">
        <v>1</v>
      </c>
      <c r="L38" s="5"/>
      <c r="N38" s="68"/>
      <c r="O38" s="68"/>
      <c r="P38" s="68"/>
      <c r="Q38" s="68"/>
      <c r="R38" s="68"/>
      <c r="S38" s="68"/>
      <c r="T38" s="77"/>
    </row>
    <row r="39" spans="1:22" x14ac:dyDescent="0.2">
      <c r="A39" s="5"/>
      <c r="F39" s="6"/>
      <c r="H39" s="5" t="s">
        <v>49</v>
      </c>
      <c r="I39" s="33">
        <v>0</v>
      </c>
      <c r="J39" s="34">
        <v>1</v>
      </c>
      <c r="L39" s="5"/>
      <c r="N39" s="68"/>
      <c r="O39" s="68"/>
      <c r="P39" s="68"/>
      <c r="Q39" s="68"/>
      <c r="R39" s="68"/>
      <c r="S39" s="68"/>
      <c r="T39" s="77"/>
      <c r="V39" s="1" t="s">
        <v>85</v>
      </c>
    </row>
    <row r="40" spans="1:22" x14ac:dyDescent="0.2">
      <c r="A40" s="5"/>
      <c r="F40" s="6"/>
      <c r="H40" s="5"/>
      <c r="J40" s="6"/>
      <c r="L40" s="5" t="s">
        <v>73</v>
      </c>
      <c r="N40" s="68"/>
      <c r="O40" s="68"/>
      <c r="P40" s="68"/>
      <c r="Q40" s="68"/>
      <c r="R40" s="68"/>
      <c r="S40" s="68"/>
      <c r="T40" s="77"/>
    </row>
    <row r="41" spans="1:22" x14ac:dyDescent="0.2">
      <c r="A41" s="35" t="s">
        <v>24</v>
      </c>
      <c r="B41" s="36"/>
      <c r="C41" s="37"/>
      <c r="D41" s="36"/>
      <c r="E41" s="36"/>
      <c r="F41" s="38"/>
      <c r="H41" s="5" t="s">
        <v>54</v>
      </c>
      <c r="J41" s="6"/>
      <c r="L41" s="5"/>
      <c r="N41" s="68"/>
      <c r="O41" s="68"/>
      <c r="P41" s="68"/>
      <c r="Q41" s="68"/>
      <c r="R41" s="68"/>
      <c r="S41" s="68"/>
      <c r="T41" s="77"/>
    </row>
    <row r="42" spans="1:22" x14ac:dyDescent="0.2">
      <c r="A42" s="5"/>
      <c r="F42" s="6"/>
      <c r="H42" s="5"/>
      <c r="J42" s="6"/>
      <c r="L42" s="5"/>
      <c r="N42" s="68" t="s">
        <v>57</v>
      </c>
      <c r="O42" s="68"/>
      <c r="P42" s="68"/>
      <c r="Q42" s="68"/>
      <c r="R42" s="68"/>
      <c r="S42" s="68"/>
      <c r="T42" s="77"/>
    </row>
    <row r="43" spans="1:22" x14ac:dyDescent="0.2">
      <c r="A43" s="5" t="s">
        <v>25</v>
      </c>
      <c r="C43" s="14" t="s">
        <v>16</v>
      </c>
      <c r="E43" s="10" t="s">
        <v>19</v>
      </c>
      <c r="F43" s="6"/>
      <c r="H43" s="45"/>
      <c r="I43" s="10" t="s">
        <v>52</v>
      </c>
      <c r="J43" s="46" t="s">
        <v>53</v>
      </c>
      <c r="L43" s="5"/>
      <c r="N43" s="68" t="s">
        <v>58</v>
      </c>
      <c r="O43" s="68" t="s">
        <v>59</v>
      </c>
      <c r="P43" s="68" t="s">
        <v>60</v>
      </c>
      <c r="Q43" s="68" t="s">
        <v>61</v>
      </c>
      <c r="R43" s="68" t="s">
        <v>62</v>
      </c>
      <c r="S43" s="68" t="s">
        <v>63</v>
      </c>
      <c r="T43" s="92" t="s">
        <v>64</v>
      </c>
    </row>
    <row r="44" spans="1:22" x14ac:dyDescent="0.2">
      <c r="A44" s="5"/>
      <c r="E44" s="25" t="s">
        <v>10</v>
      </c>
      <c r="F44" s="26" t="s">
        <v>11</v>
      </c>
      <c r="H44" s="5" t="s">
        <v>44</v>
      </c>
      <c r="I44" s="33">
        <v>0</v>
      </c>
      <c r="J44" s="34">
        <v>1</v>
      </c>
      <c r="L44" s="5" t="s">
        <v>69</v>
      </c>
      <c r="N44" s="68" t="s">
        <v>65</v>
      </c>
      <c r="O44" s="70">
        <v>2026</v>
      </c>
      <c r="P44" s="70">
        <v>2027</v>
      </c>
      <c r="Q44" s="70">
        <v>2028</v>
      </c>
      <c r="R44" s="70">
        <v>2029</v>
      </c>
      <c r="S44" s="70">
        <v>2030</v>
      </c>
      <c r="T44" s="92"/>
    </row>
    <row r="45" spans="1:22" x14ac:dyDescent="0.2">
      <c r="A45" s="5" t="s">
        <v>26</v>
      </c>
      <c r="C45" s="12">
        <v>7500</v>
      </c>
      <c r="E45" s="33">
        <v>0</v>
      </c>
      <c r="F45" s="34">
        <v>0.01</v>
      </c>
      <c r="H45" s="5" t="s">
        <v>45</v>
      </c>
      <c r="I45" s="33">
        <v>0.1</v>
      </c>
      <c r="J45" s="34">
        <v>0.9</v>
      </c>
      <c r="L45" s="89" t="s">
        <v>10</v>
      </c>
      <c r="M45" s="61" t="s">
        <v>70</v>
      </c>
      <c r="N45" s="62">
        <f>N10*$E$19*N17</f>
        <v>0</v>
      </c>
      <c r="O45" s="62">
        <f t="shared" ref="O45:S45" si="7">O10*$E$19*O17</f>
        <v>58215000</v>
      </c>
      <c r="P45" s="62">
        <f t="shared" si="7"/>
        <v>164287500</v>
      </c>
      <c r="Q45" s="62">
        <f t="shared" si="7"/>
        <v>292860000</v>
      </c>
      <c r="R45" s="62">
        <f t="shared" si="7"/>
        <v>484290000</v>
      </c>
      <c r="S45" s="62">
        <f t="shared" si="7"/>
        <v>705720000</v>
      </c>
      <c r="T45" s="80">
        <f>SUM(N45:S45)</f>
        <v>1705372500</v>
      </c>
    </row>
    <row r="46" spans="1:22" x14ac:dyDescent="0.2">
      <c r="A46" s="9" t="s">
        <v>14</v>
      </c>
      <c r="B46" s="4"/>
      <c r="C46" s="4"/>
      <c r="D46" s="4"/>
      <c r="E46" s="31">
        <f>C45*E45</f>
        <v>0</v>
      </c>
      <c r="F46" s="32">
        <f>C45*F45</f>
        <v>75</v>
      </c>
      <c r="H46" s="5" t="s">
        <v>46</v>
      </c>
      <c r="I46" s="33">
        <v>0.25</v>
      </c>
      <c r="J46" s="34">
        <v>0.75</v>
      </c>
      <c r="L46" s="90"/>
      <c r="M46" t="s">
        <v>15</v>
      </c>
      <c r="N46" s="64">
        <f>N10*$E$25*N17</f>
        <v>0</v>
      </c>
      <c r="O46" s="64">
        <f t="shared" ref="O46:S46" si="8">O10*$E$25*O17</f>
        <v>23286000</v>
      </c>
      <c r="P46" s="64">
        <f t="shared" si="8"/>
        <v>65715000</v>
      </c>
      <c r="Q46" s="64">
        <f t="shared" si="8"/>
        <v>117144000</v>
      </c>
      <c r="R46" s="64">
        <f t="shared" si="8"/>
        <v>193716000</v>
      </c>
      <c r="S46" s="64">
        <f t="shared" si="8"/>
        <v>282288000</v>
      </c>
      <c r="T46" s="81">
        <f t="shared" ref="T46:T50" si="9">SUM(N46:S46)</f>
        <v>682149000</v>
      </c>
    </row>
    <row r="47" spans="1:22" x14ac:dyDescent="0.2">
      <c r="A47" s="5"/>
      <c r="F47" s="6"/>
      <c r="H47" s="5" t="s">
        <v>47</v>
      </c>
      <c r="I47" s="33">
        <v>0.4</v>
      </c>
      <c r="J47" s="34">
        <v>0.6</v>
      </c>
      <c r="L47" s="90"/>
      <c r="M47" t="s">
        <v>71</v>
      </c>
      <c r="N47" s="64">
        <f>N10*$E$31*N17</f>
        <v>0</v>
      </c>
      <c r="O47" s="64">
        <f t="shared" ref="O47:S47" si="10">O10*$E$31*O17</f>
        <v>11643000</v>
      </c>
      <c r="P47" s="64">
        <f t="shared" si="10"/>
        <v>32857500</v>
      </c>
      <c r="Q47" s="64">
        <f t="shared" si="10"/>
        <v>58572000</v>
      </c>
      <c r="R47" s="64">
        <f t="shared" si="10"/>
        <v>96858000</v>
      </c>
      <c r="S47" s="64">
        <f t="shared" si="10"/>
        <v>141144000</v>
      </c>
      <c r="T47" s="81">
        <f t="shared" si="9"/>
        <v>341074500</v>
      </c>
    </row>
    <row r="48" spans="1:22" x14ac:dyDescent="0.2">
      <c r="A48" s="5"/>
      <c r="F48" s="6"/>
      <c r="H48" s="5" t="s">
        <v>48</v>
      </c>
      <c r="I48" s="33">
        <v>0.6</v>
      </c>
      <c r="J48" s="34">
        <v>0.4</v>
      </c>
      <c r="L48" s="90"/>
      <c r="M48" t="s">
        <v>21</v>
      </c>
      <c r="N48" s="64">
        <f>N10*$E$38*N17</f>
        <v>0</v>
      </c>
      <c r="O48" s="64">
        <f t="shared" ref="O48:S48" si="11">O10*$E$38*O17</f>
        <v>582150</v>
      </c>
      <c r="P48" s="64">
        <f t="shared" si="11"/>
        <v>1642875</v>
      </c>
      <c r="Q48" s="64">
        <f t="shared" si="11"/>
        <v>2928600</v>
      </c>
      <c r="R48" s="64">
        <f t="shared" si="11"/>
        <v>4842900</v>
      </c>
      <c r="S48" s="64">
        <f t="shared" si="11"/>
        <v>7057200</v>
      </c>
      <c r="T48" s="81">
        <f t="shared" si="9"/>
        <v>17053725</v>
      </c>
    </row>
    <row r="49" spans="1:20" ht="17" thickBot="1" x14ac:dyDescent="0.25">
      <c r="A49" s="5" t="s">
        <v>27</v>
      </c>
      <c r="C49" s="14" t="s">
        <v>16</v>
      </c>
      <c r="E49" s="10" t="s">
        <v>19</v>
      </c>
      <c r="F49" s="6"/>
      <c r="H49" s="39" t="s">
        <v>49</v>
      </c>
      <c r="I49" s="59">
        <v>0.8</v>
      </c>
      <c r="J49" s="60">
        <v>0.2</v>
      </c>
      <c r="L49" s="90"/>
      <c r="M49" t="s">
        <v>25</v>
      </c>
      <c r="N49" s="64">
        <f>N10*$E$46*N17</f>
        <v>0</v>
      </c>
      <c r="O49" s="64">
        <f t="shared" ref="O49:S49" si="12">O10*$E$46*O17</f>
        <v>0</v>
      </c>
      <c r="P49" s="64">
        <f t="shared" si="12"/>
        <v>0</v>
      </c>
      <c r="Q49" s="64">
        <f t="shared" si="12"/>
        <v>0</v>
      </c>
      <c r="R49" s="64">
        <f t="shared" si="12"/>
        <v>0</v>
      </c>
      <c r="S49" s="64">
        <f t="shared" si="12"/>
        <v>0</v>
      </c>
      <c r="T49" s="81">
        <f t="shared" si="9"/>
        <v>0</v>
      </c>
    </row>
    <row r="50" spans="1:20" x14ac:dyDescent="0.2">
      <c r="A50" s="5"/>
      <c r="E50" s="25" t="s">
        <v>10</v>
      </c>
      <c r="F50" s="26" t="s">
        <v>11</v>
      </c>
      <c r="L50" s="91"/>
      <c r="M50" s="10" t="s">
        <v>72</v>
      </c>
      <c r="N50" s="65">
        <f>N10*N17*$E$52</f>
        <v>0</v>
      </c>
      <c r="O50" s="65">
        <f t="shared" ref="O50:S50" si="13">O10*O17*$E$52</f>
        <v>20375250</v>
      </c>
      <c r="P50" s="65">
        <f t="shared" si="13"/>
        <v>57500625</v>
      </c>
      <c r="Q50" s="65">
        <f t="shared" si="13"/>
        <v>102501000</v>
      </c>
      <c r="R50" s="65">
        <f t="shared" si="13"/>
        <v>169501500</v>
      </c>
      <c r="S50" s="65">
        <f t="shared" si="13"/>
        <v>247002000</v>
      </c>
      <c r="T50" s="82">
        <f t="shared" si="9"/>
        <v>596880375</v>
      </c>
    </row>
    <row r="51" spans="1:20" x14ac:dyDescent="0.2">
      <c r="A51" s="5" t="s">
        <v>28</v>
      </c>
      <c r="C51" s="12">
        <v>175</v>
      </c>
      <c r="E51">
        <v>1</v>
      </c>
      <c r="F51" s="6">
        <v>1</v>
      </c>
      <c r="L51" s="5"/>
      <c r="N51" s="68"/>
      <c r="O51" s="68"/>
      <c r="P51" s="68"/>
      <c r="Q51" s="68"/>
      <c r="R51" s="68"/>
      <c r="S51" s="68"/>
      <c r="T51" s="77"/>
    </row>
    <row r="52" spans="1:20" x14ac:dyDescent="0.2">
      <c r="A52" s="9" t="s">
        <v>14</v>
      </c>
      <c r="B52" s="4"/>
      <c r="C52" s="4"/>
      <c r="D52" s="4"/>
      <c r="E52" s="31">
        <f>C51*E51</f>
        <v>175</v>
      </c>
      <c r="F52" s="32">
        <f>C51*F51</f>
        <v>175</v>
      </c>
      <c r="L52" s="89" t="s">
        <v>11</v>
      </c>
      <c r="M52" s="61" t="s">
        <v>70</v>
      </c>
      <c r="N52" s="66">
        <f>N10*N18*$F$19</f>
        <v>304290000</v>
      </c>
      <c r="O52" s="66">
        <f t="shared" ref="O52:S52" si="14">O10*O18*$F$19</f>
        <v>314361000</v>
      </c>
      <c r="P52" s="66">
        <f t="shared" si="14"/>
        <v>295717500</v>
      </c>
      <c r="Q52" s="66">
        <f t="shared" si="14"/>
        <v>263574000</v>
      </c>
      <c r="R52" s="66">
        <f t="shared" si="14"/>
        <v>193716000</v>
      </c>
      <c r="S52" s="66">
        <f t="shared" si="14"/>
        <v>105858000</v>
      </c>
      <c r="T52" s="78">
        <f>SUM(N52:S52)</f>
        <v>1477516500</v>
      </c>
    </row>
    <row r="53" spans="1:20" x14ac:dyDescent="0.2">
      <c r="A53" s="5"/>
      <c r="F53" s="6"/>
      <c r="L53" s="90"/>
      <c r="M53" t="s">
        <v>15</v>
      </c>
      <c r="N53" s="67">
        <f>N10*N18*$F$25</f>
        <v>0</v>
      </c>
      <c r="O53" s="67">
        <f t="shared" ref="O53:S53" si="15">O10*O18*$F$25</f>
        <v>0</v>
      </c>
      <c r="P53" s="67">
        <f t="shared" si="15"/>
        <v>0</v>
      </c>
      <c r="Q53" s="67">
        <f t="shared" si="15"/>
        <v>0</v>
      </c>
      <c r="R53" s="67">
        <f t="shared" si="15"/>
        <v>0</v>
      </c>
      <c r="S53" s="67">
        <f t="shared" si="15"/>
        <v>0</v>
      </c>
      <c r="T53" s="77">
        <f t="shared" ref="T53:T57" si="16">SUM(N53:S53)</f>
        <v>0</v>
      </c>
    </row>
    <row r="54" spans="1:20" x14ac:dyDescent="0.2">
      <c r="A54" s="5"/>
      <c r="F54" s="6"/>
      <c r="L54" s="90"/>
      <c r="M54" t="s">
        <v>71</v>
      </c>
      <c r="N54" s="68">
        <f>N10*N18*$F$31</f>
        <v>50715000</v>
      </c>
      <c r="O54" s="68">
        <f t="shared" ref="O54:S54" si="17">O10*O18*$F$31</f>
        <v>52393500</v>
      </c>
      <c r="P54" s="68">
        <f t="shared" si="17"/>
        <v>49286250</v>
      </c>
      <c r="Q54" s="68">
        <f t="shared" si="17"/>
        <v>43929000</v>
      </c>
      <c r="R54" s="68">
        <f t="shared" si="17"/>
        <v>32286000</v>
      </c>
      <c r="S54" s="68">
        <f t="shared" si="17"/>
        <v>17643000</v>
      </c>
      <c r="T54" s="77">
        <f t="shared" si="16"/>
        <v>246252750</v>
      </c>
    </row>
    <row r="55" spans="1:20" ht="17" thickBot="1" x14ac:dyDescent="0.25">
      <c r="A55" s="41" t="s">
        <v>29</v>
      </c>
      <c r="B55" s="42"/>
      <c r="C55" s="43"/>
      <c r="D55" s="42"/>
      <c r="E55" s="43">
        <f>E19+E25+E31+E38+E46+E52</f>
        <v>980</v>
      </c>
      <c r="F55" s="44">
        <f>F19+F25+F31+F38+F46+F52</f>
        <v>660</v>
      </c>
      <c r="L55" s="90"/>
      <c r="M55" t="s">
        <v>21</v>
      </c>
      <c r="N55" s="68">
        <f>N10*N18*$F$38</f>
        <v>60858000</v>
      </c>
      <c r="O55" s="68">
        <f t="shared" ref="O55:S55" si="18">O10*O18*$F$38</f>
        <v>62872200</v>
      </c>
      <c r="P55" s="68">
        <f t="shared" si="18"/>
        <v>59143500</v>
      </c>
      <c r="Q55" s="68">
        <f t="shared" si="18"/>
        <v>52714800</v>
      </c>
      <c r="R55" s="68">
        <f t="shared" si="18"/>
        <v>38743200</v>
      </c>
      <c r="S55" s="68">
        <f t="shared" si="18"/>
        <v>21171600</v>
      </c>
      <c r="T55" s="77">
        <f t="shared" si="16"/>
        <v>295503300</v>
      </c>
    </row>
    <row r="56" spans="1:20" x14ac:dyDescent="0.2">
      <c r="L56" s="90"/>
      <c r="M56" t="s">
        <v>25</v>
      </c>
      <c r="N56" s="68">
        <f>N10*N18*$F$46</f>
        <v>76072500</v>
      </c>
      <c r="O56" s="68">
        <f t="shared" ref="O56:S56" si="19">O10*O18*$F$46</f>
        <v>78590250</v>
      </c>
      <c r="P56" s="68">
        <f t="shared" si="19"/>
        <v>73929375</v>
      </c>
      <c r="Q56" s="68">
        <f t="shared" si="19"/>
        <v>65893500</v>
      </c>
      <c r="R56" s="68">
        <f t="shared" si="19"/>
        <v>48429000</v>
      </c>
      <c r="S56" s="68">
        <f t="shared" si="19"/>
        <v>26464500</v>
      </c>
      <c r="T56" s="77">
        <f t="shared" si="16"/>
        <v>369379125</v>
      </c>
    </row>
    <row r="57" spans="1:20" x14ac:dyDescent="0.2">
      <c r="L57" s="91"/>
      <c r="M57" s="10" t="s">
        <v>72</v>
      </c>
      <c r="N57" s="69">
        <f>N10*N18*$F$52</f>
        <v>177502500</v>
      </c>
      <c r="O57" s="69">
        <f t="shared" ref="O57:S57" si="20">O10*O18*$F$52</f>
        <v>183377250</v>
      </c>
      <c r="P57" s="69">
        <f t="shared" si="20"/>
        <v>172501875</v>
      </c>
      <c r="Q57" s="69">
        <f t="shared" si="20"/>
        <v>153751500</v>
      </c>
      <c r="R57" s="69">
        <f t="shared" si="20"/>
        <v>113001000</v>
      </c>
      <c r="S57" s="69">
        <f t="shared" si="20"/>
        <v>61750500</v>
      </c>
      <c r="T57" s="79">
        <f t="shared" si="16"/>
        <v>861884625</v>
      </c>
    </row>
    <row r="58" spans="1:20" x14ac:dyDescent="0.2">
      <c r="L58" s="5"/>
      <c r="T58" s="6"/>
    </row>
    <row r="59" spans="1:20" x14ac:dyDescent="0.2">
      <c r="L59" s="5"/>
      <c r="T59" s="6"/>
    </row>
    <row r="60" spans="1:20" x14ac:dyDescent="0.2">
      <c r="L60" s="45" t="s">
        <v>74</v>
      </c>
      <c r="M60" s="10"/>
      <c r="N60" s="10"/>
      <c r="O60" s="10"/>
      <c r="P60" s="10"/>
      <c r="Q60" s="10"/>
      <c r="R60" s="10"/>
      <c r="S60" s="10"/>
      <c r="T60" s="46"/>
    </row>
    <row r="61" spans="1:20" x14ac:dyDescent="0.2">
      <c r="L61" s="5"/>
      <c r="T61" s="6"/>
    </row>
    <row r="62" spans="1:20" x14ac:dyDescent="0.2">
      <c r="L62" s="5"/>
      <c r="N62" s="68" t="s">
        <v>57</v>
      </c>
      <c r="O62" s="68"/>
      <c r="P62" s="68"/>
      <c r="Q62" s="68"/>
      <c r="R62" s="68"/>
      <c r="S62" s="68"/>
      <c r="T62" s="77"/>
    </row>
    <row r="63" spans="1:20" x14ac:dyDescent="0.2">
      <c r="L63" s="5"/>
      <c r="N63" s="68" t="s">
        <v>58</v>
      </c>
      <c r="O63" s="68" t="s">
        <v>59</v>
      </c>
      <c r="P63" s="68" t="s">
        <v>60</v>
      </c>
      <c r="Q63" s="68" t="s">
        <v>61</v>
      </c>
      <c r="R63" s="68" t="s">
        <v>62</v>
      </c>
      <c r="S63" s="68" t="s">
        <v>63</v>
      </c>
      <c r="T63" s="92" t="s">
        <v>64</v>
      </c>
    </row>
    <row r="64" spans="1:20" x14ac:dyDescent="0.2">
      <c r="L64" s="5"/>
      <c r="M64" s="10" t="s">
        <v>75</v>
      </c>
      <c r="N64" s="69" t="s">
        <v>65</v>
      </c>
      <c r="O64" s="71">
        <v>2026</v>
      </c>
      <c r="P64" s="71">
        <v>2027</v>
      </c>
      <c r="Q64" s="71">
        <v>2028</v>
      </c>
      <c r="R64" s="71">
        <v>2029</v>
      </c>
      <c r="S64" s="71">
        <v>2030</v>
      </c>
      <c r="T64" s="93"/>
    </row>
    <row r="65" spans="12:20" x14ac:dyDescent="0.2">
      <c r="L65" s="5"/>
      <c r="M65" t="s">
        <v>76</v>
      </c>
      <c r="N65" s="68">
        <f>SUM(N45:N57)</f>
        <v>669438000</v>
      </c>
      <c r="O65" s="68">
        <f t="shared" ref="O65:S65" si="21">SUM(O45:O57)</f>
        <v>805695600</v>
      </c>
      <c r="P65" s="68">
        <f t="shared" si="21"/>
        <v>972582000</v>
      </c>
      <c r="Q65" s="68">
        <f t="shared" si="21"/>
        <v>1153868400</v>
      </c>
      <c r="R65" s="68">
        <f t="shared" si="21"/>
        <v>1375383600</v>
      </c>
      <c r="S65" s="68">
        <f t="shared" si="21"/>
        <v>1616098800</v>
      </c>
      <c r="T65" s="77">
        <f t="shared" ref="T65:T70" si="22">SUM(O65:S65)</f>
        <v>5923628400</v>
      </c>
    </row>
    <row r="66" spans="12:20" x14ac:dyDescent="0.2">
      <c r="L66" s="5"/>
      <c r="M66" t="s">
        <v>77</v>
      </c>
      <c r="N66" s="68">
        <f>SUM(N32:N37)</f>
        <v>669438000</v>
      </c>
      <c r="O66" s="68">
        <f t="shared" ref="O66:S66" si="23">SUM(O32:O37)</f>
        <v>768438000</v>
      </c>
      <c r="P66" s="68">
        <f t="shared" si="23"/>
        <v>867438000</v>
      </c>
      <c r="Q66" s="68">
        <f t="shared" si="23"/>
        <v>966438000</v>
      </c>
      <c r="R66" s="68">
        <f t="shared" si="23"/>
        <v>1065438000</v>
      </c>
      <c r="S66" s="68">
        <f t="shared" si="23"/>
        <v>1164438000</v>
      </c>
      <c r="T66" s="77">
        <f t="shared" si="22"/>
        <v>4832190000</v>
      </c>
    </row>
    <row r="67" spans="12:20" x14ac:dyDescent="0.2">
      <c r="L67" s="5"/>
      <c r="M67" s="51" t="s">
        <v>78</v>
      </c>
      <c r="N67" s="87">
        <f>N65-N66</f>
        <v>0</v>
      </c>
      <c r="O67" s="87">
        <f t="shared" ref="O67:S67" si="24">O65-O66</f>
        <v>37257600</v>
      </c>
      <c r="P67" s="87">
        <f t="shared" si="24"/>
        <v>105144000</v>
      </c>
      <c r="Q67" s="87">
        <f t="shared" si="24"/>
        <v>187430400</v>
      </c>
      <c r="R67" s="87">
        <f t="shared" si="24"/>
        <v>309945600</v>
      </c>
      <c r="S67" s="87">
        <f t="shared" si="24"/>
        <v>451660800</v>
      </c>
      <c r="T67" s="88">
        <f t="shared" si="22"/>
        <v>1091438400</v>
      </c>
    </row>
    <row r="68" spans="12:20" x14ac:dyDescent="0.2">
      <c r="L68" s="5"/>
      <c r="M68" t="s">
        <v>79</v>
      </c>
      <c r="N68" s="68">
        <f>N65/N10</f>
        <v>660</v>
      </c>
      <c r="O68" s="68">
        <f t="shared" ref="O68:S68" si="25">O65/O10</f>
        <v>692</v>
      </c>
      <c r="P68" s="68">
        <f t="shared" si="25"/>
        <v>740</v>
      </c>
      <c r="Q68" s="68">
        <f t="shared" si="25"/>
        <v>788</v>
      </c>
      <c r="R68" s="68">
        <f t="shared" si="25"/>
        <v>852</v>
      </c>
      <c r="S68" s="68">
        <f t="shared" si="25"/>
        <v>916</v>
      </c>
      <c r="T68" s="77">
        <f t="shared" si="22"/>
        <v>3988</v>
      </c>
    </row>
    <row r="69" spans="12:20" x14ac:dyDescent="0.2">
      <c r="L69" s="5"/>
      <c r="M69" t="s">
        <v>80</v>
      </c>
      <c r="N69" s="68">
        <f>N66/N10</f>
        <v>660</v>
      </c>
      <c r="O69" s="68">
        <f t="shared" ref="O69:S69" si="26">O66/O10</f>
        <v>660</v>
      </c>
      <c r="P69" s="68">
        <f t="shared" si="26"/>
        <v>660</v>
      </c>
      <c r="Q69" s="68">
        <f t="shared" si="26"/>
        <v>660</v>
      </c>
      <c r="R69" s="68">
        <f t="shared" si="26"/>
        <v>660</v>
      </c>
      <c r="S69" s="68">
        <f t="shared" si="26"/>
        <v>660</v>
      </c>
      <c r="T69" s="77">
        <f t="shared" si="22"/>
        <v>3300</v>
      </c>
    </row>
    <row r="70" spans="12:20" x14ac:dyDescent="0.2">
      <c r="L70" s="5"/>
      <c r="M70" s="51" t="s">
        <v>81</v>
      </c>
      <c r="N70" s="87">
        <f>N68-N69</f>
        <v>0</v>
      </c>
      <c r="O70" s="87">
        <f t="shared" ref="O70:S70" si="27">O68-O69</f>
        <v>32</v>
      </c>
      <c r="P70" s="87">
        <f t="shared" si="27"/>
        <v>80</v>
      </c>
      <c r="Q70" s="87">
        <f t="shared" si="27"/>
        <v>128</v>
      </c>
      <c r="R70" s="87">
        <f t="shared" si="27"/>
        <v>192</v>
      </c>
      <c r="S70" s="87">
        <f t="shared" si="27"/>
        <v>256</v>
      </c>
      <c r="T70" s="88">
        <f t="shared" si="22"/>
        <v>688</v>
      </c>
    </row>
    <row r="71" spans="12:20" x14ac:dyDescent="0.2">
      <c r="L71" s="5"/>
      <c r="T71" s="6"/>
    </row>
    <row r="72" spans="12:20" x14ac:dyDescent="0.2">
      <c r="L72" s="5"/>
      <c r="T72" s="6"/>
    </row>
    <row r="73" spans="12:20" x14ac:dyDescent="0.2">
      <c r="L73" s="5"/>
      <c r="M73" s="10" t="s">
        <v>82</v>
      </c>
      <c r="N73" s="10"/>
      <c r="O73" s="10"/>
      <c r="P73" s="10"/>
      <c r="Q73" s="10"/>
      <c r="R73" s="10"/>
      <c r="S73" s="10"/>
      <c r="T73" s="46"/>
    </row>
    <row r="74" spans="12:20" x14ac:dyDescent="0.2">
      <c r="L74" s="5"/>
      <c r="M74" t="s">
        <v>70</v>
      </c>
      <c r="N74" s="72">
        <f t="shared" ref="N74:N79" si="28">(N45+N52)-(N25+N32)</f>
        <v>0</v>
      </c>
      <c r="O74" s="72">
        <f t="shared" ref="O74:T74" si="29">(O45+O52)-(O25+O32)</f>
        <v>23286000</v>
      </c>
      <c r="P74" s="72">
        <f t="shared" si="29"/>
        <v>65715000</v>
      </c>
      <c r="Q74" s="72">
        <f t="shared" si="29"/>
        <v>117144000</v>
      </c>
      <c r="R74" s="72">
        <f t="shared" si="29"/>
        <v>193716000</v>
      </c>
      <c r="S74" s="72">
        <f t="shared" si="29"/>
        <v>282288000</v>
      </c>
      <c r="T74" s="83">
        <f t="shared" si="29"/>
        <v>682149000</v>
      </c>
    </row>
    <row r="75" spans="12:20" x14ac:dyDescent="0.2">
      <c r="L75" s="5"/>
      <c r="M75" t="s">
        <v>15</v>
      </c>
      <c r="N75" s="72">
        <f t="shared" si="28"/>
        <v>0</v>
      </c>
      <c r="O75" s="72">
        <f t="shared" ref="O75:T75" si="30">(O46+O53)-(O26+O33)</f>
        <v>23286000</v>
      </c>
      <c r="P75" s="72">
        <f t="shared" si="30"/>
        <v>65715000</v>
      </c>
      <c r="Q75" s="72">
        <f t="shared" si="30"/>
        <v>117144000</v>
      </c>
      <c r="R75" s="72">
        <f t="shared" si="30"/>
        <v>193716000</v>
      </c>
      <c r="S75" s="72">
        <f t="shared" si="30"/>
        <v>282288000</v>
      </c>
      <c r="T75" s="83">
        <f t="shared" si="30"/>
        <v>682149000</v>
      </c>
    </row>
    <row r="76" spans="12:20" x14ac:dyDescent="0.2">
      <c r="L76" s="5"/>
      <c r="M76" t="s">
        <v>71</v>
      </c>
      <c r="N76" s="72">
        <f t="shared" si="28"/>
        <v>0</v>
      </c>
      <c r="O76" s="72">
        <f t="shared" ref="O76:T76" si="31">(O47+O54)-(O27+O34)</f>
        <v>5821500</v>
      </c>
      <c r="P76" s="72">
        <f t="shared" si="31"/>
        <v>16428750</v>
      </c>
      <c r="Q76" s="72">
        <f t="shared" si="31"/>
        <v>29286000</v>
      </c>
      <c r="R76" s="72">
        <f t="shared" si="31"/>
        <v>48429000</v>
      </c>
      <c r="S76" s="72">
        <f t="shared" si="31"/>
        <v>70572000</v>
      </c>
      <c r="T76" s="83">
        <f t="shared" si="31"/>
        <v>170537250</v>
      </c>
    </row>
    <row r="77" spans="12:20" x14ac:dyDescent="0.2">
      <c r="L77" s="5"/>
      <c r="M77" t="s">
        <v>21</v>
      </c>
      <c r="N77" s="72">
        <f t="shared" si="28"/>
        <v>0</v>
      </c>
      <c r="O77" s="72">
        <f t="shared" ref="O77:T77" si="32">(O48+O55)-(O28+O35)</f>
        <v>-6403650</v>
      </c>
      <c r="P77" s="72">
        <f t="shared" si="32"/>
        <v>-18071625</v>
      </c>
      <c r="Q77" s="72">
        <f t="shared" si="32"/>
        <v>-32214600</v>
      </c>
      <c r="R77" s="72">
        <f t="shared" si="32"/>
        <v>-53271900</v>
      </c>
      <c r="S77" s="72">
        <f t="shared" si="32"/>
        <v>-77629200</v>
      </c>
      <c r="T77" s="83">
        <f t="shared" si="32"/>
        <v>-187590975</v>
      </c>
    </row>
    <row r="78" spans="12:20" x14ac:dyDescent="0.2">
      <c r="L78" s="5"/>
      <c r="M78" t="s">
        <v>25</v>
      </c>
      <c r="N78" s="72">
        <f t="shared" si="28"/>
        <v>0</v>
      </c>
      <c r="O78" s="72">
        <f t="shared" ref="O78:T78" si="33">(O49+O56)-(O29+O36)</f>
        <v>-8732250</v>
      </c>
      <c r="P78" s="72">
        <f t="shared" si="33"/>
        <v>-24643125</v>
      </c>
      <c r="Q78" s="72">
        <f t="shared" si="33"/>
        <v>-43929000</v>
      </c>
      <c r="R78" s="72">
        <f t="shared" si="33"/>
        <v>-72643500</v>
      </c>
      <c r="S78" s="72">
        <f t="shared" si="33"/>
        <v>-105858000</v>
      </c>
      <c r="T78" s="83">
        <f t="shared" si="33"/>
        <v>-255805875</v>
      </c>
    </row>
    <row r="79" spans="12:20" x14ac:dyDescent="0.2">
      <c r="L79" s="5"/>
      <c r="M79" t="s">
        <v>72</v>
      </c>
      <c r="N79" s="72">
        <f t="shared" si="28"/>
        <v>0</v>
      </c>
      <c r="O79" s="72">
        <f t="shared" ref="O79:T79" si="34">(O50+O57)-(O30+O37)</f>
        <v>0</v>
      </c>
      <c r="P79" s="72">
        <f t="shared" si="34"/>
        <v>0</v>
      </c>
      <c r="Q79" s="72">
        <f t="shared" si="34"/>
        <v>0</v>
      </c>
      <c r="R79" s="72">
        <f t="shared" si="34"/>
        <v>0</v>
      </c>
      <c r="S79" s="72">
        <f t="shared" si="34"/>
        <v>0</v>
      </c>
      <c r="T79" s="83">
        <f t="shared" si="34"/>
        <v>0</v>
      </c>
    </row>
    <row r="80" spans="12:20" x14ac:dyDescent="0.2">
      <c r="L80" s="5"/>
      <c r="N80" s="72"/>
      <c r="O80" s="72"/>
      <c r="P80" s="72"/>
      <c r="Q80" s="72"/>
      <c r="R80" s="72"/>
      <c r="S80" s="72"/>
      <c r="T80" s="83"/>
    </row>
    <row r="81" spans="12:20" x14ac:dyDescent="0.2">
      <c r="L81" s="5"/>
      <c r="M81" s="10" t="s">
        <v>83</v>
      </c>
      <c r="N81" s="73"/>
      <c r="O81" s="73"/>
      <c r="P81" s="73"/>
      <c r="Q81" s="73"/>
      <c r="R81" s="73"/>
      <c r="S81" s="73"/>
      <c r="T81" s="84"/>
    </row>
    <row r="82" spans="12:20" x14ac:dyDescent="0.2">
      <c r="L82" s="5"/>
      <c r="M82" t="s">
        <v>70</v>
      </c>
      <c r="N82" s="72">
        <f>N74/N10</f>
        <v>0</v>
      </c>
      <c r="O82" s="72">
        <f t="shared" ref="O82:S82" si="35">O74/O10</f>
        <v>20</v>
      </c>
      <c r="P82" s="72">
        <f t="shared" si="35"/>
        <v>50</v>
      </c>
      <c r="Q82" s="72">
        <f t="shared" si="35"/>
        <v>80</v>
      </c>
      <c r="R82" s="72">
        <f t="shared" si="35"/>
        <v>120</v>
      </c>
      <c r="S82" s="72">
        <f t="shared" si="35"/>
        <v>160</v>
      </c>
      <c r="T82" s="83">
        <f t="shared" ref="T82:T87" si="36">SUM(O82:S82)</f>
        <v>430</v>
      </c>
    </row>
    <row r="83" spans="12:20" x14ac:dyDescent="0.2">
      <c r="L83" s="5"/>
      <c r="M83" t="s">
        <v>15</v>
      </c>
      <c r="N83" s="72">
        <f>N75/N10</f>
        <v>0</v>
      </c>
      <c r="O83" s="72">
        <f t="shared" ref="O83:S83" si="37">O75/O10</f>
        <v>20</v>
      </c>
      <c r="P83" s="72">
        <f t="shared" si="37"/>
        <v>50</v>
      </c>
      <c r="Q83" s="72">
        <f t="shared" si="37"/>
        <v>80</v>
      </c>
      <c r="R83" s="72">
        <f t="shared" si="37"/>
        <v>120</v>
      </c>
      <c r="S83" s="72">
        <f t="shared" si="37"/>
        <v>160</v>
      </c>
      <c r="T83" s="83">
        <f t="shared" si="36"/>
        <v>430</v>
      </c>
    </row>
    <row r="84" spans="12:20" x14ac:dyDescent="0.2">
      <c r="L84" s="5"/>
      <c r="M84" t="s">
        <v>71</v>
      </c>
      <c r="N84" s="72">
        <f>N76/N10</f>
        <v>0</v>
      </c>
      <c r="O84" s="72">
        <f t="shared" ref="O84:S84" si="38">O76/O10</f>
        <v>5</v>
      </c>
      <c r="P84" s="72">
        <f t="shared" si="38"/>
        <v>12.5</v>
      </c>
      <c r="Q84" s="72">
        <f t="shared" si="38"/>
        <v>20</v>
      </c>
      <c r="R84" s="72">
        <f t="shared" si="38"/>
        <v>30</v>
      </c>
      <c r="S84" s="72">
        <f t="shared" si="38"/>
        <v>40</v>
      </c>
      <c r="T84" s="83">
        <f t="shared" si="36"/>
        <v>107.5</v>
      </c>
    </row>
    <row r="85" spans="12:20" x14ac:dyDescent="0.2">
      <c r="L85" s="5"/>
      <c r="M85" t="s">
        <v>21</v>
      </c>
      <c r="N85" s="72">
        <f>N77/N10</f>
        <v>0</v>
      </c>
      <c r="O85" s="72">
        <f t="shared" ref="O85:S85" si="39">O77/O10</f>
        <v>-5.5</v>
      </c>
      <c r="P85" s="72">
        <f t="shared" si="39"/>
        <v>-13.75</v>
      </c>
      <c r="Q85" s="72">
        <f t="shared" si="39"/>
        <v>-22</v>
      </c>
      <c r="R85" s="72">
        <f t="shared" si="39"/>
        <v>-33</v>
      </c>
      <c r="S85" s="72">
        <f t="shared" si="39"/>
        <v>-44</v>
      </c>
      <c r="T85" s="83">
        <f t="shared" si="36"/>
        <v>-118.25</v>
      </c>
    </row>
    <row r="86" spans="12:20" x14ac:dyDescent="0.2">
      <c r="L86" s="5"/>
      <c r="M86" t="s">
        <v>25</v>
      </c>
      <c r="N86" s="72">
        <f>N78/N10</f>
        <v>0</v>
      </c>
      <c r="O86" s="72">
        <f t="shared" ref="O86:S86" si="40">O78/O10</f>
        <v>-7.5</v>
      </c>
      <c r="P86" s="72">
        <f t="shared" si="40"/>
        <v>-18.75</v>
      </c>
      <c r="Q86" s="72">
        <f t="shared" si="40"/>
        <v>-30</v>
      </c>
      <c r="R86" s="72">
        <f t="shared" si="40"/>
        <v>-45</v>
      </c>
      <c r="S86" s="72">
        <f t="shared" si="40"/>
        <v>-60</v>
      </c>
      <c r="T86" s="83">
        <f t="shared" si="36"/>
        <v>-161.25</v>
      </c>
    </row>
    <row r="87" spans="12:20" ht="17" thickBot="1" x14ac:dyDescent="0.25">
      <c r="L87" s="39"/>
      <c r="M87" s="40" t="s">
        <v>72</v>
      </c>
      <c r="N87" s="85">
        <f>N79/N10</f>
        <v>0</v>
      </c>
      <c r="O87" s="85">
        <f t="shared" ref="O87:S87" si="41">O79/O10</f>
        <v>0</v>
      </c>
      <c r="P87" s="85">
        <f t="shared" si="41"/>
        <v>0</v>
      </c>
      <c r="Q87" s="85">
        <f t="shared" si="41"/>
        <v>0</v>
      </c>
      <c r="R87" s="85">
        <f t="shared" si="41"/>
        <v>0</v>
      </c>
      <c r="S87" s="85">
        <f t="shared" si="41"/>
        <v>0</v>
      </c>
      <c r="T87" s="86">
        <f t="shared" si="36"/>
        <v>0</v>
      </c>
    </row>
    <row r="88" spans="12:20" x14ac:dyDescent="0.2">
      <c r="N88" s="72"/>
      <c r="O88" s="72"/>
      <c r="P88" s="72"/>
      <c r="Q88" s="72"/>
      <c r="R88" s="72"/>
      <c r="S88" s="72"/>
      <c r="T88" s="72"/>
    </row>
    <row r="89" spans="12:20" x14ac:dyDescent="0.2">
      <c r="N89" s="72"/>
      <c r="O89" s="72"/>
      <c r="P89" s="72"/>
      <c r="Q89" s="72"/>
      <c r="R89" s="72"/>
      <c r="S89" s="72"/>
      <c r="T89" s="72"/>
    </row>
  </sheetData>
  <mergeCells count="13">
    <mergeCell ref="A7:B8"/>
    <mergeCell ref="A1:B1"/>
    <mergeCell ref="A5:B5"/>
    <mergeCell ref="A4:B4"/>
    <mergeCell ref="L45:L50"/>
    <mergeCell ref="L52:L57"/>
    <mergeCell ref="T63:T64"/>
    <mergeCell ref="T8:T9"/>
    <mergeCell ref="T15:T16"/>
    <mergeCell ref="T23:T24"/>
    <mergeCell ref="L25:L30"/>
    <mergeCell ref="L32:L37"/>
    <mergeCell ref="T43:T4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Paveena Singh</dc:creator>
  <cp:lastModifiedBy>Paveena Singh</cp:lastModifiedBy>
  <dcterms:created xsi:type="dcterms:W3CDTF">2025-11-03T20:26:02Z</dcterms:created>
  <dcterms:modified xsi:type="dcterms:W3CDTF">2026-02-10T17:39:39Z</dcterms:modified>
</cp:coreProperties>
</file>